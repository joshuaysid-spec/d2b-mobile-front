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0.150\d2b\20. 팀별 작업\03.체계통합\93.MOBILE\공유자료\UIUX파트공유\작업폴더\퍼블작업\"/>
    </mc:Choice>
  </mc:AlternateContent>
  <bookViews>
    <workbookView xWindow="0" yWindow="0" windowWidth="27810" windowHeight="12090"/>
  </bookViews>
  <sheets>
    <sheet name="앱 메뉴 260512" sheetId="1" r:id="rId1"/>
    <sheet name="_old_화면 코드" sheetId="2" r:id="rId2"/>
    <sheet name="제안_RFP 요약" sheetId="3" r:id="rId3"/>
    <sheet name="요구사항추적표(기능)" sheetId="4" r:id="rId4"/>
    <sheet name="요구사항추적표(비기능)" sheetId="5" r:id="rId5"/>
  </sheets>
  <definedNames>
    <definedName name="_xlnm._FilterDatabase" localSheetId="0" hidden="1">'앱 메뉴 260512'!$A$1:$AD$493</definedName>
    <definedName name="_xlnm._FilterDatabase" localSheetId="3" hidden="1">'요구사항추적표(기능)'!$A$6:$U$63</definedName>
    <definedName name="_xlnm._FilterDatabase" localSheetId="4" hidden="1">'요구사항추적표(비기능)'!$A$6:$H$93</definedName>
  </definedNames>
  <calcPr calcId="162913"/>
</workbook>
</file>

<file path=xl/calcChain.xml><?xml version="1.0" encoding="utf-8"?>
<calcChain xmlns="http://schemas.openxmlformats.org/spreadsheetml/2006/main">
  <c r="Z492" i="1" l="1"/>
  <c r="Y492" i="1"/>
  <c r="X492" i="1"/>
  <c r="AA492" i="1" s="1"/>
  <c r="Z1" i="1"/>
  <c r="Y1" i="1"/>
  <c r="X1" i="1"/>
  <c r="K493" i="1"/>
  <c r="K492" i="1"/>
  <c r="V493" i="1" l="1"/>
  <c r="U493" i="1"/>
  <c r="T493" i="1"/>
  <c r="V492" i="1"/>
  <c r="U492" i="1"/>
  <c r="T492" i="1"/>
</calcChain>
</file>

<file path=xl/sharedStrings.xml><?xml version="1.0" encoding="utf-8"?>
<sst xmlns="http://schemas.openxmlformats.org/spreadsheetml/2006/main" count="5021" uniqueCount="2641">
  <si>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</si>
  <si>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</si>
  <si>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</si>
  <si>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</si>
  <si>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</si>
  <si>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</si>
  <si>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</si>
  <si>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</si>
  <si>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</si>
  <si>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</si>
  <si>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</si>
  <si>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1차</t>
  </si>
  <si>
    <t>문의 및 답변</t>
  </si>
  <si>
    <t>완료일</t>
  </si>
  <si>
    <t>확인</t>
  </si>
  <si>
    <t>디자인
 2차</t>
  </si>
  <si>
    <t>퍼블</t>
  </si>
  <si>
    <t>개발</t>
  </si>
  <si>
    <t>검토</t>
  </si>
  <si>
    <t>설명</t>
  </si>
  <si>
    <t>비고</t>
  </si>
  <si>
    <t>RFP/기술협상</t>
  </si>
  <si>
    <t>요구사항 ID</t>
  </si>
  <si>
    <t>모바일</t>
  </si>
  <si>
    <t>Y</t>
  </si>
  <si>
    <t>2026-05-07</t>
  </si>
  <si>
    <t>앱 기동시 노출되는 로고 화면</t>
  </si>
  <si>
    <t>앱 외부 설치 없이 내부 설치 되어 화면 불필요. 스플래시 로딩중 처리
 보안 프로토콜, 보안 프로그램 설치 시 노출되는 화면
 - 모바일 백신 TouchEn mVacchine V3.0 2.24
 - 모바일키보드보안 TouchEn mTransKey 2.24
 - 모바일앱 위변조방지 TouchEn AppIron V1.0 2.24
 - 모바일 전자서명 smart pki v2.0(Android) 2.24
 - 모바일 전자서명 smart pki v2.0(IOS) 2.24</t>
  </si>
  <si>
    <t>SFR-059</t>
  </si>
  <si>
    <t>REQ-SIMO-0010</t>
  </si>
  <si>
    <t>\\192.168.100.150\d2b\98.팀별작업\03.체계통합\92.상용SW\개발환경.설치\</t>
  </si>
  <si>
    <t>앱 외부 설치 없이 내부 설치 되어 화면 불필요. 스플래시 로딩중 처리
 보안 프로토콜 설치 동의 팝업</t>
  </si>
  <si>
    <t>앱 외부 설치 없이 내부 설치 되어 화면 불필요. 스플래시 로딩중 처리
 보안 프로토콜 설치 성공, 실패 메시지 팝업</t>
  </si>
  <si>
    <t>앱에서 사용되는 권한에 대한 안내 페이지</t>
  </si>
  <si>
    <t>N</t>
  </si>
  <si>
    <t>앱 권한 사용 동의 팝업 - 권한 동의는 n종 발생 (사진 접근, 푸시알림, 카메라 접근 등)</t>
  </si>
  <si>
    <t>필수 업데이트가 있는 경우 사용자에게 업데이트를 유도하기 위한 안내 팝업</t>
  </si>
  <si>
    <t>앱 오류, 시스템 문제, 네트워크 연결 지연 등으로 앱 구동에 문제가 있는 경우 사용자에게 안내하기 위한 팝업</t>
  </si>
  <si>
    <t>앱 이용 안내 - 마이페이지와 동일</t>
  </si>
  <si>
    <t>2026-05-28</t>
  </si>
  <si>
    <t>REQ-SIMO-0040</t>
  </si>
  <si>
    <t>비로그인 사용</t>
  </si>
  <si>
    <t>사용자가 로그인하지 않고 접속하면 공지사항, 입찰공고 등 사용자에 종속되지 않은 일반정보를 표시하고 로그인 후에는 사용자에게 알림, 업무정보 표시</t>
  </si>
  <si>
    <t>메인, 서브 등 화면 하단에 노출되는 탭바 화면</t>
  </si>
  <si>
    <t>메인에 노출되는 시스템 공지 안내 팝업, 하루동안 보지않기, 닫기로 구성</t>
  </si>
  <si>
    <t>햄버거 메뉴 버튼 내 메뉴 목록</t>
  </si>
  <si>
    <t>메인에서 별도의 검색 페이지로 이동하여 통합 검색</t>
  </si>
  <si>
    <t>모바일 챗봇 화면</t>
  </si>
  <si>
    <t>메뉴 구성, 개인정보 표시, 진행중 정보 요약, 즐겨찾기한 메뉴 우선 배치</t>
  </si>
  <si>
    <t>사용자ID, IP, 메뉴명, OS, 접속방법, 위치정보 수집
 사용자 최근 접속 시간 표시</t>
  </si>
  <si>
    <t>SFR-040
 모바일-04</t>
  </si>
  <si>
    <t>REQ-SIMO-A005</t>
  </si>
  <si>
    <t>로그인</t>
  </si>
  <si>
    <t>앱바 비 로그인 시 로그인 버튼 표시
 햄버거 버튼 내 로그인, 로그아웃 버튼 표시</t>
  </si>
  <si>
    <t>소속된 회사정보, 및 대표, 직원 표시</t>
  </si>
  <si>
    <t>개인의 이름, 접속정보 표시 / 마이페이지 이동</t>
  </si>
  <si>
    <t>고려 필요</t>
  </si>
  <si>
    <t>푸시알림, 일반 알림 발생 현황 표시</t>
  </si>
  <si>
    <t>SFR-051
 SFR-060</t>
  </si>
  <si>
    <t>REQ-SIMO-0060</t>
  </si>
  <si>
    <t>소속된 업체가 많은 경우 로그인 이후 팝업에서 업체를 설정</t>
  </si>
  <si>
    <t>MUI-CM-03-M01</t>
  </si>
  <si>
    <t>로그인 - 방식 선택</t>
  </si>
  <si>
    <t>ID/PW, 간편인증 등 선택화면</t>
  </si>
  <si>
    <t>REQ-SIMO-0020</t>
  </si>
  <si>
    <t>ID/PW 로그인 입력화면</t>
  </si>
  <si>
    <t>MUI-CM-03-M03</t>
  </si>
  <si>
    <t>ID 찾기</t>
  </si>
  <si>
    <t>ID 찾기 결과</t>
  </si>
  <si>
    <t>PW 찾기</t>
  </si>
  <si>
    <t>PW 변경</t>
  </si>
  <si>
    <t>나라장터 등록한 대상만 PC 버전에서 사용자 등록이 가능함
 - 안내 페이지, PC 등록만 가능</t>
  </si>
  <si>
    <t>등록 PC only</t>
  </si>
  <si>
    <t>간편인증 프로세스 호출</t>
  </si>
  <si>
    <t>금융인증 프로세스 호출</t>
  </si>
  <si>
    <t>공동 인증서 및 인증서 관리 등 인증센터 페이지 이동</t>
  </si>
  <si>
    <t>모바일 신분증 프로세스 호출</t>
  </si>
  <si>
    <t>SFR-059
 모바일-03</t>
  </si>
  <si>
    <t>REQ-SIMO-0020
 REQ-SIMO-A004</t>
  </si>
  <si>
    <t>미등록 시 생체인증 등록 / 등록 시 생체인증 호출 인증</t>
  </si>
  <si>
    <t>시스템의 생체인증 등록 프로세스</t>
  </si>
  <si>
    <t>각 로그인 방식에 따른 인증 성공, 로그인 성공, 실패 안내 메시지
 - 로그인 성공의 경우는 안내 메시지 없이 메인 페이지 이동으로 변경될 수 있음</t>
  </si>
  <si>
    <t>MUI-CM-03-M17</t>
  </si>
  <si>
    <t>PC QR 로그인</t>
  </si>
  <si>
    <t>PC화면의 QR코드를 앱에서 읽어 유효코드를 전송하는 방식으로 로그인</t>
  </si>
  <si>
    <t>REQ-SIMO-0030</t>
  </si>
  <si>
    <t>로그아웃 안내
 - background에서 복귀 시 안내 (모바일은 타임아웃 불필요)</t>
  </si>
  <si>
    <t>비로그인 상태에서 로그인 서비스 사용 시도시 노출되는 팝업</t>
  </si>
  <si>
    <t>마이페이지 목록, 메뉴 구성
 - 서브 메인으로 각 구성항목의 건수 표시
 - 진행업무는 세부 건수 표시</t>
  </si>
  <si>
    <t>SFR-060</t>
  </si>
  <si>
    <t>REQ-SIMO-0050</t>
  </si>
  <si>
    <t>국방조달시스템(PC)에서 위젯을 통하여 설정한 값을 모바일에서도 동일하게 제공
 - 마이페이지 위치 정보 변경 표시 기능</t>
  </si>
  <si>
    <t>진행중인 업무 목록 표시 - 세부 스탭 정보 표시
 - 진행 스탭 바텀 시트
 - 목록
  &gt; [진행 업무 단계 표시] 입찰참가신청, 적격심사, 기술평가, 사양서평가</t>
  </si>
  <si>
    <t>SFR-060
 SFR-062
 모바일-01</t>
  </si>
  <si>
    <t>REQ-SIMO-0060
 REQ-SIMO-0190
 REQ-SIMO-A002</t>
  </si>
  <si>
    <t>단계표시기(스탭) 표시 바텀 시트 팝업 표시
 - 진행 업무 바로가기</t>
  </si>
  <si>
    <t>세부 카운트 - 진행 완료, 취소, 포기한 이력 정보 표시
 - [진행] 입찰참가신청, 입찰서제출, 계약, 공개수의협상
 - [상태] 계약, 취소, 포기
 - 선택 시 세부 화면 이동하여 표시 (바로가기)</t>
  </si>
  <si>
    <t>보관함에 추가한 국외 공고를 조회하는 화면
 국외 입찰 화면에서 페이지 카운트</t>
  </si>
  <si>
    <t>MUI-CM-01-M72</t>
  </si>
  <si>
    <t>보관함에 추가한 공고 상세 정보를 조회하는 화면</t>
  </si>
  <si>
    <t>MUI-CM-01-M73</t>
  </si>
  <si>
    <t>공고입찰품목 중 조달업체가 보관함에 품목을 추가 및 삭제하는 화면</t>
  </si>
  <si>
    <t>보관함에 추가된 사업의 품목을에 대한 입찰내역을 작성하는 화면</t>
  </si>
  <si>
    <t>MUI-BD-01-M77</t>
  </si>
  <si>
    <t>MUI-BD-01-M78</t>
  </si>
  <si>
    <t>이전 공고 보관함 목록의 입찰내역을 현재 공고의 입찰내역으로 불러오는 화면</t>
  </si>
  <si>
    <t>이전 공고 보관함 목록의 입찰내역 품목 확인 화면</t>
  </si>
  <si>
    <t>보관함에서 입찰 진행으로 진입하는 기능</t>
  </si>
  <si>
    <t>입찰 공고 중 사용자가 찜한 공고 목록 표시
 - 공고 찜하기(stared) on/off
 - 선택 시 공고 바로가기</t>
  </si>
  <si>
    <t>즐겨찾기한 공고 표시, 입찰서 제출일 등 조달업무 관련 캘린더 표시
 개인이 개별 등록한 일정 표시
 - 공고와 개인 등록 레이블 구분</t>
  </si>
  <si>
    <t>MUI-CM-06-P07</t>
  </si>
  <si>
    <t>- 업무 일정은 해당 공고로 이동
 - 개인이 등록한 일정은 바텀 시트로 추가 표시
 현 상세 페이지는 개인이 등록한 일정을 바텀 시트로 표시</t>
  </si>
  <si>
    <t>MUI-CM-06-P08</t>
  </si>
  <si>
    <t>개인 업무 캘린더 등록, 수정</t>
  </si>
  <si>
    <t>MUI-CM-06-P09</t>
  </si>
  <si>
    <t>삭제 확인 팝업</t>
  </si>
  <si>
    <t>-</t>
  </si>
  <si>
    <t>보낸 문서, 받은 문서, 반려 문서, 임시저장 목록</t>
  </si>
  <si>
    <t>MUI-CM-06-M11</t>
  </si>
  <si>
    <t>문서 상세 내용 표시 화면</t>
  </si>
  <si>
    <t>발생건 탭으로 표시
 - 첨언상세보기
 - 반려사유</t>
  </si>
  <si>
    <t>MUI-CM-06-M12</t>
  </si>
  <si>
    <t>개인별 수신처 내역을 표시를 저장, 삭제한다.</t>
  </si>
  <si>
    <t>법령 중 사용자가 찜한 법령 목록 표시</t>
  </si>
  <si>
    <t>관련 법령 상세 화면</t>
  </si>
  <si>
    <t>내가 작성한 게시물을 모아볼 수 있는 메뉴 화면</t>
  </si>
  <si>
    <t>상세</t>
  </si>
  <si>
    <t>게시물 세부 내용 표시 화면</t>
  </si>
  <si>
    <t>업체 정보 진입 버튼 목록</t>
  </si>
  <si>
    <t>SFR-061</t>
  </si>
  <si>
    <t>REQ-SIMO-0080</t>
  </si>
  <si>
    <t>MUI-CM-01-M02</t>
  </si>
  <si>
    <t>업체정보 상세</t>
  </si>
  <si>
    <t>2026-06-05</t>
  </si>
  <si>
    <t>자신이 속한 업체 정보 표시
 - [탭] 일반정보, 물품(내자), 시설, 국내소재상사</t>
  </si>
  <si>
    <t>REQ-SIMO-0110</t>
  </si>
  <si>
    <t>나라장터 조달업체 정보 갱신 요청</t>
  </si>
  <si>
    <t>REQ-SIMO-0120</t>
  </si>
  <si>
    <t>MUI-CM-01-M03</t>
  </si>
  <si>
    <t>업체정보 추가등록</t>
  </si>
  <si>
    <t>내자정보, 등록품목, 국내소재상사정보 등 추가정보 등록 신청
 폼은 업체정보 상세와 같음.</t>
  </si>
  <si>
    <t>REQ-SIMO-0130</t>
  </si>
  <si>
    <t>MUI-CM-01-P07</t>
  </si>
  <si>
    <t>MUI-CM-01-P09</t>
  </si>
  <si>
    <t>MUI-CM-01-P10</t>
  </si>
  <si>
    <t>MUI-CM-01-P11</t>
  </si>
  <si>
    <t>MUI-CM-01-P12</t>
  </si>
  <si>
    <t>정보 추가 등록 확인</t>
  </si>
  <si>
    <t>MUI-CM-01-M13</t>
  </si>
  <si>
    <t>추가정보신청조회</t>
  </si>
  <si>
    <t>업체 정보 추가 신청한 이력 정보 표시</t>
  </si>
  <si>
    <t>REQ-SIMO-0140</t>
  </si>
  <si>
    <t>신청 및 발급 목록
 신청 및 변경 요청, 등록증 발급</t>
  </si>
  <si>
    <t>REQ-SIMO-0150</t>
  </si>
  <si>
    <t>MUI-CM-01-M16</t>
  </si>
  <si>
    <t>OZ 리포트 화면</t>
  </si>
  <si>
    <t>조달원 확인서 신청 팝업</t>
  </si>
  <si>
    <t>조달원 확인서 신청서 팝업 (OZ 리포트????)</t>
  </si>
  <si>
    <t>국외 조달원 등록증 신청 안내 팝업</t>
  </si>
  <si>
    <t>사용자 정보 세부 메뉴 진입 버튼 화면
 - 업체 대표자 등 관리자 표시항목</t>
  </si>
  <si>
    <t>REQ-SIMO-0090</t>
  </si>
  <si>
    <t>MUI-CM-02-M02</t>
  </si>
  <si>
    <t>개인정보 페이지 접근하기 위한 인증 화면</t>
  </si>
  <si>
    <t>개인정보 표시 화면</t>
  </si>
  <si>
    <t>개인정보 수정 화면</t>
  </si>
  <si>
    <t>조달업체에 등록되어 있는 사용자 목록 및 상태 변경
 - 사용 상태 변경</t>
  </si>
  <si>
    <t>사용 상태 변경 팝업</t>
  </si>
  <si>
    <t>디지털 캐비닛, 사용자가 업로드한 자료
 - 삭제, 다운로드, 파일보기
 - 등록은 PC 버전에서 제공</t>
  </si>
  <si>
    <t>SFR-050
 번호80</t>
  </si>
  <si>
    <t>REQ-SIMO-T004</t>
  </si>
  <si>
    <t>[업체 대표자 전용] 폴더 권한 설정 팝업</t>
  </si>
  <si>
    <t>MUI-CM-02-M09</t>
  </si>
  <si>
    <t>알림서비스신청및해지</t>
  </si>
  <si>
    <t>신청, 해지 상태 정보 토글 스위치 표시
 - 알림톡, SMS, 메일 안내
 응용2팀의 디테일한 수신설정 참조 필요</t>
  </si>
  <si>
    <t>회원 탈퇴 팝업</t>
  </si>
  <si>
    <t>조달계획</t>
  </si>
  <si>
    <t>목록 화면</t>
  </si>
  <si>
    <t>SFR-062</t>
  </si>
  <si>
    <t>REQ-SIMO-0160</t>
  </si>
  <si>
    <t>상세 검색 - 검색유형 설정, 발주부서, 품목검색 및 상세 검색</t>
  </si>
  <si>
    <t>요구년도, 품명, 재고번호, 부품번호로 품목을 검색하는 화면</t>
  </si>
  <si>
    <t>MUI-OP-01-P72</t>
  </si>
  <si>
    <t>생산자 목록 코드를 검색하는 화면</t>
  </si>
  <si>
    <t>국내</t>
  </si>
  <si>
    <t>뷰 페이지</t>
  </si>
  <si>
    <r>
      <rPr>
        <sz val="9"/>
        <color rgb="FF000000"/>
        <rFont val="&quot;맑은 고딕&quot;, monospace"/>
        <family val="3"/>
        <charset val="129"/>
      </rPr>
      <t xml:space="preserve">5/28 슬랙으로 업데이트 된 조달계획서 전달 완료.
추가사항) 업체의견 답변 화면 추가 윤부장 답변&gt; 목록화면.없으면.만들어주세요
</t>
    </r>
    <r>
      <rPr>
        <b/>
        <sz val="9"/>
        <color rgb="FF980000"/>
        <rFont val="&quot;맑은 고딕&quot;, monospace"/>
        <family val="3"/>
        <charset val="129"/>
      </rPr>
      <t>+ 260601)</t>
    </r>
    <r>
      <rPr>
        <b/>
        <sz val="9"/>
        <color rgb="FF000000"/>
        <rFont val="&quot;맑은 고딕&quot;, monospace"/>
        <family val="3"/>
        <charset val="129"/>
      </rPr>
      <t xml:space="preserve">
기획서 보시면 4번 항목에 '의견에 대한 답글의 경우 최초 의견 글 바로 아래 답변 표시'라고 명시되어 있습니다.
내용 다시 한번 확인 부탁드립니다. &gt;&gt;  혹시 이해 안되는 부분 있으시면 말씀주세요.</t>
    </r>
  </si>
  <si>
    <t>등록된 의견 목록</t>
  </si>
  <si>
    <t>업체의견 상세</t>
  </si>
  <si>
    <t>디자인필요 윤부장 답변&gt; 답변 등록과 유사하니 퍼블에서 검토해주세요</t>
  </si>
  <si>
    <t>디자인필요 윤부장 답변&gt; 디자인팀 작업해주세요</t>
  </si>
  <si>
    <t>업체의견 상세와 유사함.</t>
  </si>
  <si>
    <t>조달 계획, 사전 규격의 업체 의견 등록, 수정</t>
  </si>
  <si>
    <t>MUI-OP-01-M08</t>
  </si>
  <si>
    <t>MUI-OP-01-M09</t>
  </si>
  <si>
    <t>조달계획에서 입찰공고가 나오게 되면 해당 공고에 대한 알림을 신청하는 팝업</t>
  </si>
  <si>
    <t>조달계획 외 업무 상세화면에서 연관 된 조달계획 정보를 조회한다.</t>
  </si>
  <si>
    <t>등록된 의견 목록 - MUI-OP-01-M05 동일</t>
  </si>
  <si>
    <t>조달계획 업체의견과 동일</t>
  </si>
  <si>
    <t>조달판단내역 품목 상세정보를 조회하는 화면</t>
  </si>
  <si>
    <t>조달계획상세조회에서 조회된 항목 중 실적이 있는 항목의 품목별가격자료를 조회하는 화면</t>
  </si>
  <si>
    <t>MUI-BD-01-M01</t>
  </si>
  <si>
    <t>입찰</t>
  </si>
  <si>
    <t>입찰공고통합목록</t>
  </si>
  <si>
    <t>입찰 공고 목록 화면</t>
  </si>
  <si>
    <t>SFR-062
 SFR-066</t>
  </si>
  <si>
    <t>REQ-SIMO-0170
 REQ-SIMO-0470</t>
  </si>
  <si>
    <t>상세 검색 - 발주부서, 품목검색</t>
  </si>
  <si>
    <t>시군구까지 지역 검색 설정</t>
  </si>
  <si>
    <t>발주기관 검색 설정</t>
  </si>
  <si>
    <t>MUI-BD-01-P05</t>
  </si>
  <si>
    <t>면허정보 검색 설정</t>
  </si>
  <si>
    <t>날짜 설정 팝업</t>
  </si>
  <si>
    <t>공고 상세 조회 탭</t>
  </si>
  <si>
    <t>REQ-SIMO-0170</t>
  </si>
  <si>
    <t>MUI-BD-01-M08</t>
  </si>
  <si>
    <t>MUI-BD-01-M09</t>
  </si>
  <si>
    <t>MUI-BD-01-M10</t>
  </si>
  <si>
    <t>MUI-BD-01-M11</t>
  </si>
  <si>
    <t>MUI-BD-01-M12</t>
  </si>
  <si>
    <t>입찰진행현황</t>
  </si>
  <si>
    <t>관심 공고 등록 확인 팝업</t>
  </si>
  <si>
    <t>OZ 리포트 연계 전 사용자 확인 팝업</t>
  </si>
  <si>
    <t>OZ 리포트 연계</t>
  </si>
  <si>
    <t>조건에 따라 노출되는 버튼 - 버튼 내역 역시 조건에 따라 변경 노출</t>
  </si>
  <si>
    <t>조건에 따라 노출되는 버튼</t>
  </si>
  <si>
    <t>사전심사(PQ)신청</t>
  </si>
  <si>
    <t>신청한 입찰 내역</t>
  </si>
  <si>
    <t>SFR-064</t>
  </si>
  <si>
    <t>REQ-SIMO-0270</t>
  </si>
  <si>
    <t>상세 검색 - 신청 목록, 물품/용역 등</t>
  </si>
  <si>
    <t>신청한 입찰 상세 내역 조회</t>
  </si>
  <si>
    <t>MUI-BD-03-P03</t>
  </si>
  <si>
    <t>입찰포기신청서작성</t>
  </si>
  <si>
    <t>입찰참가신청 후 입찰서 제출 포기</t>
  </si>
  <si>
    <t>SFR-065</t>
  </si>
  <si>
    <t>MUI-BD-03-P04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</si>
  <si>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</si>
  <si>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</si>
  <si>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</si>
  <si>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</si>
  <si>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입찰참가신청서 신청 현황 및 심사결과 조회</t>
  </si>
  <si>
    <t>REQ-SIMO-0180
 REQ-SIMO-0330</t>
  </si>
  <si>
    <t>MUI-BD-02-M02</t>
  </si>
  <si>
    <t>사전심사(PQ)결과</t>
  </si>
  <si>
    <t>사전심사 신청 현황 및 심사결과 조회</t>
  </si>
  <si>
    <t>SFR-063</t>
  </si>
  <si>
    <t>REQ-SIMO-0260</t>
  </si>
  <si>
    <t>REQ-SIMO-0180
 REQ-SIMO-0500</t>
  </si>
  <si>
    <t>기술평가 서류 제출 결과</t>
  </si>
  <si>
    <t>생산능력서류 제출</t>
  </si>
  <si>
    <t>REQ-SIMO-0320</t>
  </si>
  <si>
    <t>입찰참가 기간 내 취소하는 경우 반려(입찰 취소) 신청</t>
  </si>
  <si>
    <t>REQ-SIMO-0300</t>
  </si>
  <si>
    <t>MUI-BD-02-M01</t>
  </si>
  <si>
    <t>조달업체는 필요 서류를 첨부하여 사전심사신청서 제출</t>
  </si>
  <si>
    <t>REQ-SIMO-0240</t>
  </si>
  <si>
    <t>필요 서류 제출</t>
  </si>
  <si>
    <t>REQ-SIMO-0290</t>
  </si>
  <si>
    <t>첨부 파일, 캐비닛 선택 팝업</t>
  </si>
  <si>
    <t>SFR-064
 모바일-02</t>
  </si>
  <si>
    <t>REQ-SIMO-0290
 REQ-SIMO-A003</t>
  </si>
  <si>
    <t>REQ-SIMO-0340</t>
  </si>
  <si>
    <t>신청 완료</t>
  </si>
  <si>
    <t>입찰 참가, 입찰서, 사전심사(PQ) 작성 완료</t>
  </si>
  <si>
    <t>입찰참가신청서작성</t>
  </si>
  <si>
    <t>입찰참가 신청서 구분 뎁스</t>
  </si>
  <si>
    <t>청렴이행서약서, 조세포탈 사실 없음 서약서, 행정정보공동이용 동의서 등 동의</t>
  </si>
  <si>
    <t>REQ-SIMO-0280</t>
  </si>
  <si>
    <t>조세포탈 사실 없음 서약서</t>
  </si>
  <si>
    <t>MUI-BD-04-P03</t>
  </si>
  <si>
    <t>청렴이행서약서</t>
  </si>
  <si>
    <t>MUI-BD-04-P04</t>
  </si>
  <si>
    <t>하도급대금 집급 관련 확인 및 확약서</t>
  </si>
  <si>
    <t>품목코드, 공종 및 면허, 지역, 부정당제재 등 참가자격 자동제한 탭으로 확인, 작성</t>
  </si>
  <si>
    <t>MUI-BD-04-M06</t>
  </si>
  <si>
    <t>스탭 단위 표시</t>
  </si>
  <si>
    <t>MUI-BD-04-M07</t>
  </si>
  <si>
    <t>MUI-BD-04-M08</t>
  </si>
  <si>
    <t>입찰보증금 납부 방법(보증기관 보증서 연계 포함), 면제사유 등 체크</t>
  </si>
  <si>
    <t>MUI-BD-04-M10</t>
  </si>
  <si>
    <t>MUI-BD-04-M12</t>
  </si>
  <si>
    <t>스탭 6 - 파일첨부</t>
  </si>
  <si>
    <t>REQ-SIMO-0390
 REQ-SIMO-0440</t>
  </si>
  <si>
    <t>SFR-065
 모바일-02</t>
  </si>
  <si>
    <t>REQ-SIMO-0390
 REQ-SIMO-0440
 REQ-SIMO-A003</t>
  </si>
  <si>
    <t>MUI-BD-04-M14</t>
  </si>
  <si>
    <t>국방규격 및 계약이행 가능성 확인 동의</t>
  </si>
  <si>
    <t>MUI-BD-04-P16</t>
  </si>
  <si>
    <t>약관동의</t>
  </si>
  <si>
    <t>MUI-BD-04-P17</t>
  </si>
  <si>
    <t>하도급대금의 지급관련 확인 및 확약서 - 서약서와 동일 컨텐츠로 선택 사항 표시</t>
  </si>
  <si>
    <t>MUI-BD-04-P18</t>
  </si>
  <si>
    <t>동의서4</t>
  </si>
  <si>
    <t>입찰보증금 지급확약서 동의문</t>
  </si>
  <si>
    <t>MUI-BD-04-P19</t>
  </si>
  <si>
    <t>동의서5</t>
  </si>
  <si>
    <t>입찰보증금 지급확약서 관련 경고문</t>
  </si>
  <si>
    <t>MUI-BD-04-P20</t>
  </si>
  <si>
    <t>입찰보증금 면제사유 확약서</t>
  </si>
  <si>
    <t>MUI-BD-04-M21</t>
  </si>
  <si>
    <t>입찰서 작성</t>
  </si>
  <si>
    <t>REQ-SIMO-0350
 REQ-SIMO-0360
 REQ-SIMO-0370
 REQ-SIMO-0380</t>
  </si>
  <si>
    <t>MUI-BD-06-M01</t>
  </si>
  <si>
    <t>입찰참가신청서 표시 정보 일부가 다르고 양식은 동일</t>
  </si>
  <si>
    <t>MUI-BD-06-M02</t>
  </si>
  <si>
    <t>입찰참가신청서 품목내역과 동일</t>
  </si>
  <si>
    <t>MUI-BD-06-M04</t>
  </si>
  <si>
    <t>MUI-BD-06-M05</t>
  </si>
  <si>
    <t>입찰참가신청서 파일첨부와 동일 - 항목이 다름</t>
  </si>
  <si>
    <t>MUI-BD-06-M06</t>
  </si>
  <si>
    <t>MUI-BD-06-M07</t>
  </si>
  <si>
    <t>투찰금액 검증 기능 / 유효성</t>
  </si>
  <si>
    <t>REQ-SIMO-0370</t>
  </si>
  <si>
    <t>MUI-BD-06-M08</t>
  </si>
  <si>
    <t>업체 신청 공고건 중에서 개찰 결과가 있는 건을 개찰 목록에서 표시
 이행, 적격심사 내용 확인을 위한 개찰 목록 필요</t>
  </si>
  <si>
    <t>경쟁입찰, 수의계약 건에 대해 개찰 및 낙찰 처리 후 입찰결과를 조회</t>
  </si>
  <si>
    <t>REQ-SIMO-0180</t>
  </si>
  <si>
    <t>MUI-BD-09-M02</t>
  </si>
  <si>
    <t>공고의 품목정보 표시 탭</t>
  </si>
  <si>
    <t>MUI-BD-09-M03</t>
  </si>
  <si>
    <t>입찰결과</t>
  </si>
  <si>
    <t>업체의 입찰 결과 정보 표시 탭</t>
  </si>
  <si>
    <t>MUI-BD-09-M04</t>
  </si>
  <si>
    <t>업체의 협상 결과 정보 표시 탭</t>
  </si>
  <si>
    <t>MUI-BD-10-M01</t>
  </si>
  <si>
    <t>적격심사 대상 공고에 심사 신청 화면</t>
  </si>
  <si>
    <t>REQ-SIMO-0190</t>
  </si>
  <si>
    <t>MUI-BD-10-M02</t>
  </si>
  <si>
    <t>MUI-BD-10-M03</t>
  </si>
  <si>
    <t>이행/적격심사결과상세</t>
  </si>
  <si>
    <t>적격심사 결과 표시 탭</t>
  </si>
  <si>
    <t>MUI-BD-10-M04</t>
  </si>
  <si>
    <t>품목에 따라 결과 표시 영역 변경 화면 노출</t>
  </si>
  <si>
    <t>MUI-BD-10-M05</t>
  </si>
  <si>
    <t>MUI-BD-10-M06</t>
  </si>
  <si>
    <t>MUI-BD-10-M07</t>
  </si>
  <si>
    <t>MUI-BD-10-M08</t>
  </si>
  <si>
    <t>MUI-BD-10-M09</t>
  </si>
  <si>
    <t>MUI-BD-10-M10</t>
  </si>
  <si>
    <t>MUI-BD-10-M11</t>
  </si>
  <si>
    <t>MUI-BD-10-M12</t>
  </si>
  <si>
    <t>MUI-BD-10-M13</t>
  </si>
  <si>
    <t>MUI-BD-10-M14</t>
  </si>
  <si>
    <t>MUI-BD-10-M15</t>
  </si>
  <si>
    <t>MUI-BD-10-M16</t>
  </si>
  <si>
    <t>MUI-BD-10-M17</t>
  </si>
  <si>
    <t>MUI-BD-10-M18</t>
  </si>
  <si>
    <t>MUI-BD-10-M19</t>
  </si>
  <si>
    <t>MUI-BD-10-M20</t>
  </si>
  <si>
    <t>포기 신청 작성 제출</t>
  </si>
  <si>
    <t>SFR-066</t>
  </si>
  <si>
    <t>국내/국외 공통 사용</t>
  </si>
  <si>
    <t>MUI-BD-01-M72</t>
  </si>
  <si>
    <t>품목 목록은 국내 품목 명세서와 대동소이함.</t>
  </si>
  <si>
    <t>MUI-BD-01-M73</t>
  </si>
  <si>
    <t>국내 첨부파일과 동일함.</t>
  </si>
  <si>
    <t>MUI-BD-01-M74</t>
  </si>
  <si>
    <t>환율 정보 목록 표시 - 국외 업무인 경우 버튼 표시 및 환율 정보 표시</t>
  </si>
  <si>
    <t>MUI-BD-01-M75</t>
  </si>
  <si>
    <t>목표가공개품목을 조회하는 화면</t>
  </si>
  <si>
    <t>보관함에 추가한 국외 공고를 조회하는 화면</t>
  </si>
  <si>
    <t>국내와 동일하며, 항목에 차이가 있음</t>
  </si>
  <si>
    <t>청렴계약이행서약서동의 - 국내와 내용이 동일함</t>
  </si>
  <si>
    <t>보증금 항목에서 내역 작성</t>
  </si>
  <si>
    <t>MUI-BD-04-M74</t>
  </si>
  <si>
    <t>국내와 표시 내역이 다름.</t>
  </si>
  <si>
    <t>국내는 보증서 선택이 드롭다운 형식이나, 국외는 팝업 형식이며, 상세 보증서 내역이 표시됨</t>
  </si>
  <si>
    <t>MUI-BD-04-P76</t>
  </si>
  <si>
    <t>MUI-BD-04-M77</t>
  </si>
  <si>
    <t>MUI-BD-04-M79</t>
  </si>
  <si>
    <t>MUI-BD-04-M80</t>
  </si>
  <si>
    <t>MUI-BD-04-M81</t>
  </si>
  <si>
    <t>국내 입찰 취소와 항목에 차이가 존재함.</t>
  </si>
  <si>
    <t>입찰서제출</t>
  </si>
  <si>
    <t>MUI-BD-06-M72</t>
  </si>
  <si>
    <t>MUI-BD-06-M73</t>
  </si>
  <si>
    <t>MUI-BD-06-M74</t>
  </si>
  <si>
    <t>MUI-BD-06-M76</t>
  </si>
  <si>
    <t>MUI-BD-06-M77</t>
  </si>
  <si>
    <t>MUI-BD-06-M78</t>
  </si>
  <si>
    <t>MUI-BD-06-M79</t>
  </si>
  <si>
    <t>MUI-BD-09-M72</t>
  </si>
  <si>
    <t>MUI-BD-09-M73</t>
  </si>
  <si>
    <t>MUI-BD-12-M72</t>
  </si>
  <si>
    <t>MUI-BD-12-M73</t>
  </si>
  <si>
    <t>MUI-BD-12-M75</t>
  </si>
  <si>
    <t>MUI-BD-12-M76</t>
  </si>
  <si>
    <t>MUI-BD-12-M77</t>
  </si>
  <si>
    <t>MUI-BD-12-M79</t>
  </si>
  <si>
    <t>MUI-BD-12-M80</t>
  </si>
  <si>
    <t>MUI-BD-12-M81</t>
  </si>
  <si>
    <t>계약</t>
  </si>
  <si>
    <t>목록 화면 - 업체의 계약에 관한건만 표시되는 화면</t>
  </si>
  <si>
    <t>REQ-SIMO-0200</t>
  </si>
  <si>
    <t>진행상태조회, 계약번호조회, 발주부서(기관)검색</t>
  </si>
  <si>
    <t>MUI-CT-01-M03</t>
  </si>
  <si>
    <t>계약진행상태 조회</t>
  </si>
  <si>
    <t>MUI-CT-01-M05</t>
  </si>
  <si>
    <t>MUI-CT-01-M06</t>
  </si>
  <si>
    <t>MUI-CT-01-M07</t>
  </si>
  <si>
    <t>MUI-CT-01-M08</t>
  </si>
  <si>
    <t>총액제계약과 항목이 동일함</t>
  </si>
  <si>
    <t>MUI-CT-01-M09</t>
  </si>
  <si>
    <t>MUI-CT-01-M10</t>
  </si>
  <si>
    <t>해지/해제 목록</t>
  </si>
  <si>
    <t>해지/해제 상세</t>
  </si>
  <si>
    <t>계약통합목록에서 조건에 따라 노출
 물품계약해지해제상세</t>
  </si>
  <si>
    <t>MUI-CT-03-M03</t>
  </si>
  <si>
    <t>MUI-CT-03-M04</t>
  </si>
  <si>
    <t>MUI-CT-03-M05</t>
  </si>
  <si>
    <t>수정계약서와 항목이 동일함</t>
  </si>
  <si>
    <t>국내와 동일함.</t>
  </si>
  <si>
    <t>계약상세정보 중에서 일반현황 정보 조회 화면</t>
  </si>
  <si>
    <t>계약상세정보 중에서 계좌정보 정보 조회 화면</t>
  </si>
  <si>
    <t>계약상세정보 중에서 보증서 정보 조회 화면</t>
  </si>
  <si>
    <t>MUI-CT-01-M74</t>
  </si>
  <si>
    <t>계약상세정보 중에서 인지세 정보 조회 화면</t>
  </si>
  <si>
    <t>MUI-CT-01-M75</t>
  </si>
  <si>
    <t>계약상세정보 중에서 계약명세서 정보 조회 화면</t>
  </si>
  <si>
    <t>국내와 동일한 첨부서류 탭 화면
 계약상세정보 중에서 첨부서류 정보 조회 화면</t>
  </si>
  <si>
    <t>상업계약서의 상세정보를 조회하는 화면</t>
  </si>
  <si>
    <t>상업계약명세서 목록정보를 조회하는 화면</t>
  </si>
  <si>
    <t>이행</t>
  </si>
  <si>
    <t>검사통합목록</t>
  </si>
  <si>
    <t>동일한 화면 재사용, 검색 내역은 다름</t>
  </si>
  <si>
    <t>납품조서 상세 - 물품, 용역 계약</t>
  </si>
  <si>
    <t>MUI-EX-01-M03</t>
  </si>
  <si>
    <t>MUI-EX-01-M04</t>
  </si>
  <si>
    <t>기성 및 준공검사 상세</t>
  </si>
  <si>
    <t>납품조서 상세 - 공사 계약</t>
  </si>
  <si>
    <t>MUI-EX-01-M05</t>
  </si>
  <si>
    <t>검사 및 납품조서 현황 목록을 조회하는 화면</t>
  </si>
  <si>
    <t>부대조달 검사및납품조서 조서발행번호 조회 팝업 화면</t>
  </si>
  <si>
    <t>납품조서결과를 확인하는 화면</t>
  </si>
  <si>
    <t>견적의뢰서 목록을 조회하고 통보서 진행상태를 확인하는 화면</t>
  </si>
  <si>
    <t>MUI-EX-02-M72</t>
  </si>
  <si>
    <t>견적의뢰서 상세내용을 확인하는 화면</t>
  </si>
  <si>
    <t>MUI-EX-02-M73</t>
  </si>
  <si>
    <t>견적통보서목록을 조회하는 화면</t>
  </si>
  <si>
    <t>MUI-EX-02-M74</t>
  </si>
  <si>
    <t>견적통보서 상세내용을 확인하는 화면</t>
  </si>
  <si>
    <t>MUI-EX-02-M75</t>
  </si>
  <si>
    <t>발주의뢰서 목록을 조회하고 통보서 진행상태를 확인하는 화면</t>
  </si>
  <si>
    <t>MUI-EX-02-M76</t>
  </si>
  <si>
    <t>발주의뢰서 상세내용을 확인하는 화면</t>
  </si>
  <si>
    <t>MUI-EX-02-M77</t>
  </si>
  <si>
    <t>발주통보서목록을 조회하는 화면</t>
  </si>
  <si>
    <t>MUI-EX-02-M78</t>
  </si>
  <si>
    <t>발주통보서 상세내용 확인하는 화면</t>
  </si>
  <si>
    <t>계약년도와 계약번호로 계약정보목록을 조회하는 화면</t>
  </si>
  <si>
    <t>목록 화면 - 신청한, 신청할 수 있는 계약건 목록</t>
  </si>
  <si>
    <t>기신청한 내역이 있는경우 해당 내역을 표시</t>
  </si>
  <si>
    <t>REQ-SIMO-0210</t>
  </si>
  <si>
    <t>선금, 착.중도금 지급 상태 조회</t>
  </si>
  <si>
    <t>대금청구 신청 내역 중 반납이 발생한 내역 목록
 - 상세 화면은 상단 대금청구 등과 동일함.</t>
  </si>
  <si>
    <t>상세 화면은 상단 대금청구 등과 동일함.</t>
  </si>
  <si>
    <t>대금청구 신청한 내역 목록 (수령 발생, 미발생 모두 포함)
 - 상세 화면은 상단 대금청구 등과 동일함.</t>
  </si>
  <si>
    <t>업무지원</t>
  </si>
  <si>
    <t>제조/구매/의견작성 팝업</t>
  </si>
  <si>
    <t>REQ-SIMO-0220</t>
  </si>
  <si>
    <t>MUI-TS-04-M03</t>
  </si>
  <si>
    <t>세금계산서작성</t>
  </si>
  <si>
    <t>전체 공지, 시스템 공지 - 게시판</t>
  </si>
  <si>
    <t>REQ-SIMO-0230</t>
  </si>
  <si>
    <t>공지사항, 방위사업청 공지사항, 수요부대별 공지사항 화면</t>
  </si>
  <si>
    <t>게시판</t>
  </si>
  <si>
    <t>MUI-CM-04-M02</t>
  </si>
  <si>
    <t>후순위</t>
  </si>
  <si>
    <t>안내 페이지</t>
  </si>
  <si>
    <t>실적증명서 신청 이력 목록 표시</t>
  </si>
  <si>
    <t>SFR-067</t>
  </si>
  <si>
    <t>REQ-SIMO-0520</t>
  </si>
  <si>
    <t>실적 증명서 상세</t>
  </si>
  <si>
    <t>REQ-SIMO-0520
 REQ-SIMO-0530</t>
  </si>
  <si>
    <t>승인된 실적증명서는 관련 협회로 온라인 제출. 해당 정보는 협회로 연계 송신하며, 제출 결과 조회</t>
  </si>
  <si>
    <t>REQ-SIMO-0530</t>
  </si>
  <si>
    <t>REQ-SIMO-0510</t>
  </si>
  <si>
    <t>국내/국외 조달원 신청/발급 이력 목록 표시</t>
  </si>
  <si>
    <t>국내/국외 조달원 등록증 상세</t>
  </si>
  <si>
    <t>REQ-SIMO-0540
 REQ-SIMO-0550</t>
  </si>
  <si>
    <t>REQ-SIMO-0550</t>
  </si>
  <si>
    <t>REQ-SIMO-0540</t>
  </si>
  <si>
    <t>to-be 에서 법령 정보 목록만 DB화, 목록에서 즐겨찾기 기능 제공</t>
  </si>
  <si>
    <t>상세는 법령에서 직접 보는 방식임.</t>
  </si>
  <si>
    <t>보유하고 있는 인증서 목록</t>
  </si>
  <si>
    <t>솔루션</t>
  </si>
  <si>
    <t>모바일-03</t>
  </si>
  <si>
    <t>REQ-SIMO-A004</t>
  </si>
  <si>
    <t>인증서 목록, 인증서 선택 삭제</t>
  </si>
  <si>
    <t>OCR</t>
  </si>
  <si>
    <t>PC → 모바일 인증서 복사 기능 및 화면</t>
  </si>
  <si>
    <t>모바일 → PC 인증서 복사 기능 및 화면</t>
  </si>
  <si>
    <t>인증서 비밀번호 확인 팝업</t>
  </si>
  <si>
    <t>스마트 PKI 메시지 출력</t>
  </si>
  <si>
    <t>로그인에 있는 디바이스 생체 인증 프로세스</t>
  </si>
  <si>
    <t>PC와 업무 공통에서 화면 설계 디자인 요청</t>
  </si>
  <si>
    <t>Rn 퍼블</t>
  </si>
  <si>
    <t>시스템 소개 정보를 안내한다.</t>
  </si>
  <si>
    <t>MUI-CM-05-M02</t>
  </si>
  <si>
    <t>주요 특징 정보를 안내한다.</t>
  </si>
  <si>
    <t>MUI-CM-05-M03</t>
  </si>
  <si>
    <t>연혁 정보를 안내한다.</t>
  </si>
  <si>
    <t>MUI-CM-05-M04</t>
  </si>
  <si>
    <t>인포그래픽스 정보를 안내한다.</t>
  </si>
  <si>
    <t>MUI-CM-05-M05</t>
  </si>
  <si>
    <t>관련시스템 정보를 안내한다.</t>
  </si>
  <si>
    <t>MUI-CM-05-M06</t>
  </si>
  <si>
    <t>이용문의 정보를 안내한다.</t>
  </si>
  <si>
    <t>사전준비사항</t>
  </si>
  <si>
    <t>설명 페이지</t>
  </si>
  <si>
    <t>MUI-CM-05-M08</t>
  </si>
  <si>
    <t>MUI-CM-05-M09</t>
  </si>
  <si>
    <t>국방조달참여절차</t>
  </si>
  <si>
    <t>MUI-CM-05-M10</t>
  </si>
  <si>
    <t>전자입찰절차</t>
  </si>
  <si>
    <t>MUI-CM-05-M11</t>
  </si>
  <si>
    <t>전자대금청구절차</t>
  </si>
  <si>
    <t>MUI-CM-05-M12</t>
  </si>
  <si>
    <t>MUI-CM-05-M13</t>
  </si>
  <si>
    <t>MUI-CM-05-M14</t>
  </si>
  <si>
    <t>스플래시에서 사용된 앱 이용 안내 다시 보기</t>
  </si>
  <si>
    <t>앱 푸시 알림 사용 여부 토글 스위치 표시
 토스트 메시지</t>
  </si>
  <si>
    <t>SFR-042
 SFR-051
 SFR-061</t>
  </si>
  <si>
    <t>REQ-SIMO-0100</t>
  </si>
  <si>
    <t>스플래시 - 앱 접근 권한 동의 페이지 재활용</t>
  </si>
  <si>
    <t>앱 접근 권한 페이지 이동</t>
  </si>
  <si>
    <t>캐시 삭제 확인 팝업, 삭제완료 팝업</t>
  </si>
  <si>
    <t>버전 표시</t>
  </si>
  <si>
    <t>사이트 개인정보처리방침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</si>
  <si>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</si>
  <si>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</si>
  <si>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</si>
  <si>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</si>
  <si>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</si>
  <si>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</si>
  <si>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</si>
  <si>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</si>
  <si>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</si>
  <si>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</si>
  <si>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</si>
  <si>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</si>
  <si>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</si>
  <si>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</si>
  <si>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</si>
  <si>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</si>
  <si>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</si>
  <si>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</si>
  <si>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</si>
  <si>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</si>
  <si>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</si>
  <si>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</si>
  <si>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</si>
  <si>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</si>
  <si>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</si>
  <si>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</si>
  <si>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</si>
  <si>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</si>
  <si>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</si>
  <si>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</si>
  <si>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</si>
  <si>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</si>
  <si>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</si>
  <si>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</si>
  <si>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</si>
  <si>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</si>
  <si>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</si>
  <si>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</si>
  <si>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</si>
  <si>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</si>
  <si>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</si>
  <si>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</si>
  <si>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</si>
  <si>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</si>
  <si>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</si>
  <si>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</si>
  <si>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</si>
  <si>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</si>
  <si>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</si>
  <si>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</si>
  <si>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</si>
  <si>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</si>
  <si>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</si>
  <si>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</si>
  <si>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</si>
  <si>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</si>
  <si>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</si>
  <si>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</si>
  <si>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</si>
  <si>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</si>
  <si>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</si>
  <si>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</si>
  <si>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</si>
  <si>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</si>
  <si>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</si>
  <si>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</si>
  <si>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</si>
  <si>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</si>
  <si>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</si>
  <si>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</si>
  <si>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</si>
  <si>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</si>
  <si>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</si>
  <si>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</si>
  <si>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</si>
  <si>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</si>
  <si>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</si>
  <si>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</si>
  <si>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</si>
  <si>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</si>
  <si>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</si>
  <si>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</si>
  <si>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</si>
  <si>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</si>
  <si>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</si>
  <si>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</si>
  <si>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</si>
  <si>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</si>
  <si>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</si>
  <si>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</si>
  <si>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</si>
  <si>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</si>
  <si>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</si>
  <si>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</si>
  <si>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</si>
  <si>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</si>
  <si>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</si>
  <si>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</si>
  <si>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</si>
  <si>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</si>
  <si>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</si>
  <si>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</si>
  <si>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</si>
  <si>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</si>
  <si>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</si>
  <si>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</si>
  <si>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</si>
  <si>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</si>
  <si>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</si>
  <si>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</si>
  <si>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</si>
  <si>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</si>
  <si>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</si>
  <si>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</si>
  <si>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</si>
  <si>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</si>
  <si>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</si>
  <si>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</si>
  <si>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</si>
  <si>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</si>
  <si>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</si>
  <si>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</si>
  <si>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</si>
  <si>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</si>
  <si>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</si>
  <si>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</si>
  <si>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</si>
  <si>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</si>
  <si>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</si>
  <si>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</si>
  <si>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</si>
  <si>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</si>
  <si>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</si>
  <si>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</si>
  <si>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</si>
  <si>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</si>
  <si>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</si>
  <si>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</si>
  <si>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</si>
  <si>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</si>
  <si>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</si>
  <si>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</si>
  <si>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</si>
  <si>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</si>
  <si>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</si>
  <si>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</si>
  <si>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</si>
  <si>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</si>
  <si>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</si>
  <si>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</si>
  <si>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</si>
  <si>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</si>
  <si>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</si>
  <si>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</si>
  <si>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</si>
  <si>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</si>
  <si>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</si>
  <si>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</si>
  <si>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</si>
  <si>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</si>
  <si>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</si>
  <si>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</si>
  <si>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</si>
  <si>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</si>
  <si>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</si>
  <si>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</si>
  <si>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</si>
  <si>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</si>
  <si>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</si>
  <si>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</si>
  <si>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</si>
  <si>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</si>
  <si>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</si>
  <si>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</si>
  <si>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</si>
  <si>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</si>
  <si>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</si>
  <si>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</si>
  <si>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</si>
  <si>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</si>
  <si>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</si>
  <si>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</si>
  <si>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</si>
  <si>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</si>
  <si>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</si>
  <si>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</si>
  <si>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</si>
  <si>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</si>
  <si>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</si>
  <si>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</si>
  <si>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</si>
  <si>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</si>
  <si>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</si>
  <si>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</si>
  <si>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</si>
  <si>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</si>
  <si>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</si>
  <si>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</si>
  <si>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</si>
  <si>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</si>
  <si>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</si>
  <si>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</si>
  <si>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</si>
  <si>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</si>
  <si>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</si>
  <si>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</si>
  <si>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</si>
  <si>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</si>
  <si>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</si>
  <si>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</si>
  <si>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</si>
  <si>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</si>
  <si>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</si>
  <si>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</si>
  <si>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</si>
  <si>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</si>
  <si>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</si>
  <si>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</si>
  <si>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</si>
  <si>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</si>
  <si>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</si>
  <si>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</si>
  <si>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</si>
  <si>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</si>
  <si>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</si>
  <si>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</si>
  <si>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</si>
  <si>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</si>
  <si>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</si>
  <si>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</si>
  <si>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</si>
  <si>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</si>
  <si>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</si>
  <si>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</si>
  <si>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</si>
  <si>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</si>
  <si>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</si>
  <si>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</si>
  <si>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</si>
  <si>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</si>
  <si>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</si>
  <si>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</si>
  <si>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</si>
  <si>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</si>
  <si>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</si>
  <si>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</si>
  <si>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</si>
  <si>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</si>
  <si>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</si>
  <si>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</si>
  <si>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</si>
  <si>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</si>
  <si>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</si>
  <si>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</si>
  <si>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</si>
  <si>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</si>
  <si>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</si>
  <si>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</si>
  <si>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</si>
  <si>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</si>
  <si>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</si>
  <si>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</si>
  <si>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</si>
  <si>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</si>
  <si>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</si>
  <si>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</si>
  <si>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</si>
  <si>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</si>
  <si>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</si>
  <si>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</si>
  <si>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</si>
  <si>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</si>
  <si>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</si>
  <si>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</si>
  <si>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</si>
  <si>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</si>
  <si>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</si>
  <si>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</si>
  <si>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</si>
  <si>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</si>
  <si>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</si>
  <si>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</si>
  <si>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</si>
  <si>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</si>
  <si>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</si>
  <si>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</si>
  <si>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</si>
  <si>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</si>
  <si>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</si>
  <si>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</si>
  <si>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</si>
  <si>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</si>
  <si>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</si>
  <si>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</si>
  <si>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</si>
  <si>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</si>
  <si>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</si>
  <si>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</si>
  <si>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</si>
  <si>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</si>
  <si>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</si>
  <si>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</si>
  <si>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</si>
  <si>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</si>
  <si>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</si>
  <si>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</si>
  <si>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</si>
  <si>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</si>
  <si>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</si>
  <si>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</si>
  <si>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</si>
  <si>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</si>
  <si>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</si>
  <si>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</si>
  <si>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</si>
  <si>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</si>
  <si>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</si>
  <si>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</si>
  <si>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</si>
  <si>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</si>
  <si>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</si>
  <si>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</si>
  <si>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</si>
  <si>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</si>
  <si>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</si>
  <si>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</si>
  <si>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</si>
  <si>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</si>
  <si>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</si>
  <si>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</si>
  <si>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</si>
  <si>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</si>
  <si>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</si>
  <si>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</si>
  <si>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</si>
  <si>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</si>
  <si>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</si>
  <si>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</si>
  <si>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</si>
  <si>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</si>
  <si>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</si>
  <si>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</si>
  <si>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</si>
  <si>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</si>
  <si>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</si>
  <si>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</si>
  <si>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</si>
  <si>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</si>
  <si>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</si>
  <si>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</si>
  <si>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</si>
  <si>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</si>
  <si>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</si>
  <si>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</si>
  <si>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</si>
  <si>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</si>
  <si>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</si>
  <si>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</si>
  <si>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</si>
  <si>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</si>
  <si>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</si>
  <si>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</si>
  <si>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</si>
  <si>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</si>
  <si>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</si>
  <si>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</si>
  <si>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</si>
  <si>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</si>
  <si>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</si>
  <si>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</si>
  <si>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</si>
  <si>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</si>
  <si>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</si>
  <si>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</si>
  <si>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</si>
  <si>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</si>
  <si>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</si>
  <si>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</si>
  <si>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</si>
  <si>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</si>
  <si>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</si>
  <si>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</si>
  <si>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</si>
  <si>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</si>
  <si>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</si>
  <si>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</si>
  <si>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</si>
  <si>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</si>
  <si>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</si>
  <si>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</si>
  <si>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</si>
  <si>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</si>
  <si>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</si>
  <si>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</si>
  <si>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</si>
  <si>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</si>
  <si>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</si>
  <si>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</si>
  <si>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</si>
  <si>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</si>
  <si>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</si>
  <si>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</si>
  <si>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</si>
  <si>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</si>
  <si>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</si>
  <si>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</si>
  <si>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</si>
  <si>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</si>
  <si>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</si>
  <si>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</si>
  <si>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</si>
  <si>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</si>
  <si>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</si>
  <si>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</si>
  <si>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</si>
  <si>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</si>
  <si>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</si>
  <si>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</si>
  <si>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</si>
  <si>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</si>
  <si>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</si>
  <si>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</si>
  <si>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</si>
  <si>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</si>
  <si>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</si>
  <si>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</si>
  <si>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</si>
  <si>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</si>
  <si>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</si>
  <si>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</si>
  <si>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</si>
  <si>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</si>
  <si>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</si>
  <si>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</si>
  <si>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</si>
  <si>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</si>
  <si>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</si>
  <si>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</si>
  <si>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</si>
  <si>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</si>
  <si>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</si>
  <si>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</si>
  <si>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</si>
  <si>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</si>
  <si>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</si>
  <si>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</si>
  <si>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</si>
  <si>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</si>
  <si>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</si>
  <si>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</si>
  <si>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</si>
  <si>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</si>
  <si>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</si>
  <si>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</si>
  <si>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</si>
  <si>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</si>
  <si>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</si>
  <si>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</si>
  <si>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</si>
  <si>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</si>
  <si>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</si>
  <si>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</si>
  <si>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</si>
  <si>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</si>
  <si>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</si>
  <si>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</si>
  <si>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</si>
  <si>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</si>
  <si>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</si>
  <si>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</si>
  <si>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</si>
  <si>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</si>
  <si>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</si>
  <si>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</si>
  <si>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</si>
  <si>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</si>
  <si>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</si>
  <si>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</si>
  <si>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</si>
  <si>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</si>
  <si>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</si>
  <si>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</si>
  <si>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</si>
  <si>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</si>
  <si>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</si>
  <si>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</si>
  <si>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</si>
  <si>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</si>
  <si>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</si>
  <si>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</si>
  <si>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</si>
  <si>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</si>
  <si>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</si>
  <si>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</si>
  <si>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</si>
  <si>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</si>
  <si>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</si>
  <si>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</si>
  <si>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</si>
  <si>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</si>
  <si>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</si>
  <si>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</si>
  <si>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</si>
  <si>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</si>
  <si>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</si>
  <si>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</si>
  <si>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</si>
  <si>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</si>
  <si>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</si>
  <si>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</si>
  <si>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</si>
  <si>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</si>
  <si>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</si>
  <si>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</si>
  <si>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</si>
  <si>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</si>
  <si>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</si>
  <si>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</si>
  <si>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</si>
  <si>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</si>
  <si>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</si>
  <si>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</si>
  <si>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</si>
  <si>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</si>
  <si>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</si>
  <si>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</si>
  <si>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</si>
  <si>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</si>
  <si>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</si>
  <si>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</si>
  <si>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</si>
  <si>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</si>
  <si>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</si>
  <si>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</si>
  <si>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</si>
  <si>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</si>
  <si>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</si>
  <si>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</si>
  <si>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</si>
  <si>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</si>
  <si>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</si>
  <si>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</si>
  <si>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</si>
  <si>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</si>
  <si>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</si>
  <si>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</si>
  <si>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</si>
  <si>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</si>
  <si>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</si>
  <si>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</si>
  <si>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</si>
  <si>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</si>
  <si>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</si>
  <si>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</si>
  <si>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</si>
  <si>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</si>
  <si>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</si>
  <si>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</si>
  <si>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</si>
  <si>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</si>
  <si>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</si>
  <si>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</si>
  <si>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</si>
  <si>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</si>
  <si>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</si>
  <si>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</si>
  <si>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</si>
  <si>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</si>
  <si>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</si>
  <si>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</si>
  <si>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</si>
  <si>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</si>
  <si>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</si>
  <si>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</si>
  <si>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</si>
  <si>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</si>
  <si>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</si>
  <si>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</si>
  <si>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</si>
  <si>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</si>
  <si>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</si>
  <si>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</si>
  <si>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</si>
  <si>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</si>
  <si>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</si>
  <si>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</si>
  <si>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</si>
  <si>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</si>
  <si>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</si>
  <si>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</si>
  <si>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</si>
  <si>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</si>
  <si>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</si>
  <si>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</si>
  <si>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</si>
  <si>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</si>
  <si>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</si>
  <si>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</si>
  <si>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</si>
  <si>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</si>
  <si>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</si>
  <si>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</si>
  <si>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</si>
  <si>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</si>
  <si>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</si>
  <si>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</si>
  <si>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</si>
  <si>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</si>
  <si>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</si>
  <si>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</si>
  <si>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</si>
  <si>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</si>
  <si>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</si>
  <si>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</si>
  <si>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</si>
  <si>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</si>
  <si>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</si>
  <si>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</si>
  <si>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</si>
  <si>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</si>
  <si>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</si>
  <si>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</si>
  <si>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</si>
  <si>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</si>
  <si>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</si>
  <si>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</si>
  <si>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</si>
  <si>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</si>
  <si>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</si>
  <si>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</si>
  <si>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</si>
  <si>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</si>
  <si>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</si>
  <si>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</si>
  <si>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</si>
  <si>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</si>
  <si>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</si>
  <si>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</si>
  <si>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</si>
  <si>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</si>
  <si>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</si>
  <si>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</si>
  <si>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</si>
  <si>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</si>
  <si>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</si>
  <si>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</si>
  <si>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</si>
  <si>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</si>
  <si>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</si>
  <si>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</si>
  <si>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</si>
  <si>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</si>
  <si>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</si>
  <si>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</si>
  <si>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</si>
  <si>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</si>
  <si>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</si>
  <si>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</si>
  <si>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</si>
  <si>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</si>
  <si>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</si>
  <si>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</si>
  <si>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</si>
  <si>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</si>
  <si>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</si>
  <si>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</si>
  <si>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</si>
  <si>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</si>
  <si>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</si>
  <si>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</si>
  <si>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</si>
  <si>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</si>
  <si>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</si>
  <si>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</si>
  <si>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</si>
  <si>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</si>
  <si>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</si>
  <si>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</si>
  <si>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</si>
  <si>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</si>
  <si>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</si>
  <si>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</si>
  <si>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</si>
  <si>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</si>
  <si>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</si>
  <si>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</si>
  <si>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</si>
  <si>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</si>
  <si>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</si>
  <si>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</si>
  <si>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</si>
  <si>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</si>
  <si>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</si>
  <si>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</si>
  <si>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</si>
  <si>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</si>
  <si>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</si>
  <si>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</si>
  <si>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</si>
  <si>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</si>
  <si>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</si>
  <si>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</si>
  <si>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</si>
  <si>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</si>
  <si>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</si>
  <si>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</si>
  <si>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</si>
  <si>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</si>
  <si>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</si>
  <si>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</si>
  <si>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</si>
  <si>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</si>
  <si>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</si>
  <si>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</si>
  <si>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</si>
  <si>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</si>
  <si>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</si>
  <si>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</si>
  <si>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</si>
  <si>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</si>
  <si>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</si>
  <si>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</si>
  <si>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</si>
  <si>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</si>
  <si>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</si>
  <si>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</si>
  <si>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</si>
  <si>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</si>
  <si>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</si>
  <si>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</si>
  <si>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</si>
  <si>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</si>
  <si>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</si>
  <si>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</si>
  <si>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</si>
  <si>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</si>
  <si>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</si>
  <si>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</si>
  <si>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</si>
  <si>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</si>
  <si>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</si>
  <si>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</si>
  <si>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</si>
  <si>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</si>
  <si>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</si>
  <si>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</si>
  <si>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</si>
  <si>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</si>
  <si>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</si>
  <si>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</si>
  <si>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</si>
  <si>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</si>
  <si>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</si>
  <si>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</si>
  <si>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</si>
  <si>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</si>
  <si>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</si>
  <si>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</si>
  <si>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</si>
  <si>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</si>
  <si>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</si>
  <si>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</si>
  <si>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</si>
  <si>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</si>
  <si>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</si>
  <si>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</si>
  <si>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</si>
  <si>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</si>
  <si>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</si>
  <si>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</si>
  <si>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</si>
  <si>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</si>
  <si>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</si>
  <si>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</si>
  <si>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</si>
  <si>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</si>
  <si>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</si>
  <si>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</si>
  <si>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</si>
  <si>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</si>
  <si>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</si>
  <si>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</si>
  <si>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</si>
  <si>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</si>
  <si>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</si>
  <si>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</si>
  <si>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</si>
  <si>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</si>
  <si>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</si>
  <si>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</si>
  <si>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</si>
  <si>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</si>
  <si>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</si>
  <si>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</si>
  <si>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</si>
  <si>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</si>
  <si>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</si>
  <si>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</si>
  <si>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</si>
  <si>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</si>
  <si>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</si>
  <si>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</si>
  <si>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</si>
  <si>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</si>
  <si>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</si>
  <si>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</si>
  <si>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</si>
  <si>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</si>
  <si>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</si>
  <si>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</si>
  <si>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</si>
  <si>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</si>
  <si>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</si>
  <si>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</si>
  <si>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</si>
  <si>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</si>
  <si>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</si>
  <si>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</si>
  <si>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</si>
  <si>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</si>
  <si>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</si>
  <si>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</si>
  <si>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</si>
  <si>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</si>
  <si>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</si>
  <si>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</si>
  <si>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</si>
  <si>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</si>
  <si>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</si>
  <si>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</si>
  <si>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</si>
  <si>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</si>
  <si>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</si>
  <si>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</si>
  <si>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</si>
  <si>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</si>
  <si>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</si>
  <si>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</si>
  <si>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</si>
  <si>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</si>
  <si>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</si>
  <si>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</si>
  <si>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</si>
  <si>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</si>
  <si>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</si>
  <si>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</si>
  <si>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</si>
  <si>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</si>
  <si>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</si>
  <si>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</si>
  <si>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</si>
  <si>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</si>
  <si>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</si>
  <si>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</si>
  <si>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</si>
  <si>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</si>
  <si>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</si>
  <si>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</si>
  <si>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</si>
  <si>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</si>
  <si>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</si>
  <si>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</si>
  <si>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</si>
  <si>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</si>
  <si>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</si>
  <si>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</si>
  <si>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</si>
  <si>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</si>
  <si>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</si>
  <si>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</si>
  <si>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</si>
  <si>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</si>
  <si>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</si>
  <si>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</si>
  <si>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</si>
  <si>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</si>
  <si>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</si>
  <si>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</si>
  <si>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</si>
  <si>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</si>
  <si>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</si>
  <si>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</si>
  <si>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</si>
  <si>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</si>
  <si>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</si>
  <si>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</si>
  <si>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</si>
  <si>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</si>
  <si>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</si>
  <si>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</si>
  <si>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</si>
  <si>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</si>
  <si>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</si>
  <si>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</si>
  <si>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</si>
  <si>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</si>
  <si>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</si>
  <si>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</si>
  <si>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</si>
  <si>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</si>
  <si>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</si>
  <si>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</si>
  <si>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</si>
  <si>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</si>
  <si>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</si>
  <si>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</si>
  <si>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</si>
  <si>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</si>
  <si>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</si>
  <si>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</si>
  <si>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</si>
  <si>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</si>
  <si>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</si>
  <si>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</si>
  <si>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</si>
  <si>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</si>
  <si>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</si>
  <si>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</si>
  <si>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</si>
  <si>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</si>
  <si>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</si>
  <si>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</si>
  <si>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</si>
  <si>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</si>
  <si>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</si>
  <si>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</si>
  <si>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</si>
  <si>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</si>
  <si>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</si>
  <si>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</si>
  <si>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</si>
  <si>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</si>
  <si>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</si>
  <si>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</si>
  <si>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</si>
  <si>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</si>
  <si>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</si>
  <si>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</si>
  <si>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</si>
  <si>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</si>
  <si>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</si>
  <si>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</si>
  <si>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</si>
  <si>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</si>
  <si>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</si>
  <si>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</si>
  <si>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</si>
  <si>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</si>
  <si>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</si>
  <si>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</si>
  <si>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</si>
  <si>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</si>
  <si>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</si>
  <si>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</si>
  <si>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</si>
  <si>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</si>
  <si>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</si>
  <si>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</si>
  <si>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</si>
  <si>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</si>
  <si>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</si>
  <si>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</si>
  <si>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</si>
  <si>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</si>
  <si>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</si>
  <si>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</si>
  <si>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</si>
  <si>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</si>
  <si>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</si>
  <si>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</si>
  <si>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</si>
  <si>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</si>
  <si>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</si>
  <si>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</si>
  <si>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</si>
  <si>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</si>
  <si>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</si>
  <si>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</si>
  <si>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</si>
  <si>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</si>
  <si>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</si>
  <si>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</si>
  <si>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</si>
  <si>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</si>
  <si>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</si>
  <si>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</si>
  <si>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</si>
  <si>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</si>
  <si>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</si>
  <si>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</si>
  <si>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</si>
  <si>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</si>
  <si>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</si>
  <si>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</si>
  <si>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</si>
  <si>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</si>
  <si>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</si>
  <si>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</si>
  <si>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</si>
  <si>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</si>
  <si>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</si>
  <si>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</si>
  <si>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</si>
  <si>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</si>
  <si>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</si>
  <si>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</si>
  <si>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</si>
  <si>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</si>
  <si>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</si>
  <si>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</si>
  <si>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</si>
  <si>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</si>
  <si>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</si>
  <si>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</si>
  <si>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</si>
  <si>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Y</t>
    <phoneticPr fontId="34" type="noConversion"/>
  </si>
  <si>
    <t>MUI-CM-01-M04</t>
  </si>
  <si>
    <t>권한동의 - n종</t>
    <phoneticPr fontId="34" type="noConversion"/>
  </si>
  <si>
    <t>ovsLockerItemMng_SrchFilter</t>
    <phoneticPr fontId="34" type="noConversion"/>
  </si>
  <si>
    <t>ovsBidDsctnItitbReg</t>
    <phoneticPr fontId="34" type="noConversion"/>
  </si>
  <si>
    <t>ovsBidDsctnAlonbsReg</t>
    <phoneticPr fontId="34" type="noConversion"/>
  </si>
  <si>
    <t>MUI-CM-01-M17</t>
  </si>
  <si>
    <t>MUI-CM-01-M18</t>
  </si>
  <si>
    <t>MUI-CM-01-P21</t>
  </si>
  <si>
    <t>앱 접근 권한 동의</t>
    <phoneticPr fontId="34" type="noConversion"/>
  </si>
  <si>
    <t>MUI-MS-01-P03</t>
    <phoneticPr fontId="34" type="noConversion"/>
  </si>
  <si>
    <t>국외 추가 260513</t>
    <phoneticPr fontId="34" type="noConversion"/>
  </si>
  <si>
    <t>itrstBidPbanc_SrchFilter</t>
    <phoneticPr fontId="34" type="noConversion"/>
  </si>
  <si>
    <t>Page</t>
    <phoneticPr fontId="34" type="noConversion"/>
  </si>
  <si>
    <t>Popup</t>
    <phoneticPr fontId="34" type="noConversion"/>
  </si>
  <si>
    <t>디자인 작업 진행 예정</t>
    <phoneticPr fontId="34" type="noConversion"/>
  </si>
  <si>
    <t xml:space="preserve">디자인 작업 진행 예정, 앱 이용안내 표출 방식 모바일팀 확인 필요 </t>
    <phoneticPr fontId="34" type="noConversion"/>
  </si>
  <si>
    <t>모바일팀 확인 필요</t>
    <phoneticPr fontId="34" type="noConversion"/>
  </si>
  <si>
    <t>작업 완료, 수정 항목 리스트 제출요망</t>
    <phoneticPr fontId="34" type="noConversion"/>
  </si>
  <si>
    <t>디자인 작업 완료 또는 확인 후 진행 예정</t>
    <phoneticPr fontId="34" type="noConversion"/>
  </si>
  <si>
    <t>작업 완료, 모바일팀 확인 후 수정 항목 리스트 작성 요망</t>
    <phoneticPr fontId="34" type="noConversion"/>
  </si>
  <si>
    <t>협의 필요</t>
    <phoneticPr fontId="34" type="noConversion"/>
  </si>
  <si>
    <t>진행 사항 없음</t>
    <phoneticPr fontId="34" type="noConversion"/>
  </si>
  <si>
    <t>작업 완료, 확인 후 전달</t>
    <phoneticPr fontId="34" type="noConversion"/>
  </si>
  <si>
    <t>오즈리포트 처리</t>
    <phoneticPr fontId="34" type="noConversion"/>
  </si>
  <si>
    <t>디자인 작업 진행 예정 (표준정의서 확인요망)</t>
    <phoneticPr fontId="34" type="noConversion"/>
  </si>
  <si>
    <t>프로토 타입 확인 필요</t>
    <phoneticPr fontId="34" type="noConversion"/>
  </si>
  <si>
    <t>동의서 5 확인 후 퍼블 적용</t>
    <phoneticPr fontId="34" type="noConversion"/>
  </si>
  <si>
    <t>작업 완료, 탭 메뉴는 퍼블 작업</t>
    <phoneticPr fontId="34" type="noConversion"/>
  </si>
  <si>
    <t>설명 필요</t>
    <phoneticPr fontId="34" type="noConversion"/>
  </si>
  <si>
    <t>작업완료, 확인 후 진행 예정</t>
    <phoneticPr fontId="34" type="noConversion"/>
  </si>
  <si>
    <t>외부 링크</t>
    <phoneticPr fontId="34" type="noConversion"/>
  </si>
  <si>
    <t>디자인 작업 진행 예정 (개발 확인 필요)</t>
    <phoneticPr fontId="34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</si>
  <si>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4" type="noConversion"/>
  </si>
  <si>
    <r>
      <t xml:space="preserve">260605 반출된 기획서 &gt;  00공통-모바일 65p, 66p와 상이합니다.
</t>
    </r>
    <r>
      <rPr>
        <sz val="9"/>
        <color rgb="FFFF0000"/>
        <rFont val="&quot;맑은 고딕&quot;"/>
        <family val="3"/>
        <charset val="129"/>
      </rPr>
      <t>모바일팀 확인 후 수정 항목 리스트 작성 요망</t>
    </r>
    <r>
      <rPr>
        <sz val="9"/>
        <color rgb="FF000000"/>
        <rFont val="&quot;맑은 고딕&quot;"/>
        <family val="3"/>
        <charset val="129"/>
      </rPr>
      <t>(설계서 반영)</t>
    </r>
    <phoneticPr fontId="34" type="noConversion"/>
  </si>
  <si>
    <t>작업완료</t>
    <phoneticPr fontId="34" type="noConversion"/>
  </si>
  <si>
    <t>PrcmPlanDtlPage</t>
  </si>
  <si>
    <t>PrfmncPrdocSbmsn</t>
  </si>
  <si>
    <t>MUI-MS-01-M01</t>
    <phoneticPr fontId="34" type="noConversion"/>
  </si>
  <si>
    <t>모바일</t>
    <phoneticPr fontId="34" type="noConversion"/>
  </si>
  <si>
    <r>
      <rPr>
        <sz val="9"/>
        <color theme="1"/>
        <rFont val="Calibri"/>
        <family val="3"/>
        <charset val="129"/>
        <scheme val="minor"/>
      </rPr>
      <t>스플래시</t>
    </r>
    <r>
      <rPr>
        <sz val="9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3"/>
        <charset val="129"/>
        <scheme val="minor"/>
      </rPr>
      <t>로고</t>
    </r>
    <phoneticPr fontId="34" type="noConversion"/>
  </si>
  <si>
    <t>splash</t>
    <phoneticPr fontId="34" type="noConversion"/>
  </si>
  <si>
    <t>보안 프로토콜 설치</t>
    <phoneticPr fontId="34" type="noConversion"/>
  </si>
  <si>
    <t>보안 프로그램 동의</t>
    <phoneticPr fontId="34" type="noConversion"/>
  </si>
  <si>
    <t>보안 설치 성공, 실패 안내 팝업</t>
    <phoneticPr fontId="34" type="noConversion"/>
  </si>
  <si>
    <t>MUI-MS-01-M02</t>
    <phoneticPr fontId="34" type="noConversion"/>
  </si>
  <si>
    <t>AppAuthrtAgre</t>
    <phoneticPr fontId="34" type="noConversion"/>
  </si>
  <si>
    <t>AppAuthrtAgrePopup</t>
    <phoneticPr fontId="34" type="noConversion"/>
  </si>
  <si>
    <t>Y</t>
    <phoneticPr fontId="34" type="noConversion"/>
  </si>
  <si>
    <t>MUI-MS-01-P04</t>
    <phoneticPr fontId="34" type="noConversion"/>
  </si>
  <si>
    <t>업데이트 안내</t>
    <phoneticPr fontId="34" type="noConversion"/>
  </si>
  <si>
    <t>AppUpdateInfo</t>
    <phoneticPr fontId="34" type="noConversion"/>
  </si>
  <si>
    <t>MUI-MS-01-P05</t>
    <phoneticPr fontId="34" type="noConversion"/>
  </si>
  <si>
    <t>앱 오류 안내</t>
    <phoneticPr fontId="34" type="noConversion"/>
  </si>
  <si>
    <t>AppErrInfo</t>
    <phoneticPr fontId="34" type="noConversion"/>
  </si>
  <si>
    <t>MUI-MS-01-M06</t>
    <phoneticPr fontId="34" type="noConversion"/>
  </si>
  <si>
    <t>앱 이용 안내</t>
    <phoneticPr fontId="34" type="noConversion"/>
  </si>
  <si>
    <t>AppSrvcExpln</t>
    <phoneticPr fontId="34" type="noConversion"/>
  </si>
  <si>
    <t>MUI-MS-01-M07</t>
    <phoneticPr fontId="34" type="noConversion"/>
  </si>
  <si>
    <t>업무공통</t>
    <phoneticPr fontId="34" type="noConversion"/>
  </si>
  <si>
    <t>메인</t>
    <phoneticPr fontId="34" type="noConversion"/>
  </si>
  <si>
    <t>mscrn</t>
    <phoneticPr fontId="34" type="noConversion"/>
  </si>
  <si>
    <r>
      <rPr>
        <sz val="9"/>
        <color theme="1"/>
        <rFont val="Calibri"/>
        <family val="3"/>
        <charset val="129"/>
        <scheme val="minor"/>
      </rPr>
      <t>메인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홈</t>
    </r>
    <phoneticPr fontId="34" type="noConversion"/>
  </si>
  <si>
    <t>탭바</t>
    <phoneticPr fontId="34" type="noConversion"/>
  </si>
  <si>
    <t>MUI-MS-01-P08</t>
    <phoneticPr fontId="34" type="noConversion"/>
  </si>
  <si>
    <t>SysExplnPopup</t>
    <phoneticPr fontId="34" type="noConversion"/>
  </si>
  <si>
    <r>
      <rPr>
        <sz val="9"/>
        <color theme="1"/>
        <rFont val="Calibri"/>
        <family val="3"/>
        <charset val="129"/>
        <scheme val="minor"/>
      </rPr>
      <t>중요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공지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Calibri"/>
        <family val="3"/>
        <charset val="129"/>
        <scheme val="minor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안내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팝업</t>
    </r>
    <phoneticPr fontId="34" type="noConversion"/>
  </si>
  <si>
    <t>메뉴</t>
    <phoneticPr fontId="34" type="noConversion"/>
  </si>
  <si>
    <t>MUI-MS-01-M09</t>
    <phoneticPr fontId="34" type="noConversion"/>
  </si>
  <si>
    <t>IntgSrch</t>
    <phoneticPr fontId="34" type="noConversion"/>
  </si>
  <si>
    <t>통합검색</t>
    <phoneticPr fontId="34" type="noConversion"/>
  </si>
  <si>
    <t>통합 검색 기능</t>
    <phoneticPr fontId="34" type="noConversion"/>
  </si>
  <si>
    <t>MUI-MS-01-M10</t>
    <phoneticPr fontId="34" type="noConversion"/>
  </si>
  <si>
    <t>IntgSrch_Rslt</t>
    <phoneticPr fontId="34" type="noConversion"/>
  </si>
  <si>
    <r>
      <rPr>
        <sz val="9"/>
        <color theme="1"/>
        <rFont val="Calibri"/>
        <family val="3"/>
        <charset val="129"/>
        <scheme val="minor"/>
      </rPr>
      <t>결과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목록</t>
    </r>
    <phoneticPr fontId="34" type="noConversion"/>
  </si>
  <si>
    <t>MUI-MS-01-M11</t>
    <phoneticPr fontId="34" type="noConversion"/>
  </si>
  <si>
    <t>모바일</t>
    <phoneticPr fontId="34" type="noConversion"/>
  </si>
  <si>
    <t>햄버거 메뉴</t>
    <phoneticPr fontId="34" type="noConversion"/>
  </si>
  <si>
    <t>Chatbot</t>
    <phoneticPr fontId="34" type="noConversion"/>
  </si>
  <si>
    <r>
      <rPr>
        <sz val="9"/>
        <color theme="1"/>
        <rFont val="Calibri"/>
        <family val="3"/>
        <charset val="129"/>
        <scheme val="minor"/>
      </rPr>
      <t>챗봇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문의</t>
    </r>
    <phoneticPr fontId="34" type="noConversion"/>
  </si>
  <si>
    <t>MUI-MS-01-M12</t>
    <phoneticPr fontId="34" type="noConversion"/>
  </si>
  <si>
    <t>menu</t>
    <phoneticPr fontId="34" type="noConversion"/>
  </si>
  <si>
    <r>
      <rPr>
        <sz val="9"/>
        <color theme="1"/>
        <rFont val="Calibri"/>
        <family val="3"/>
        <charset val="129"/>
        <scheme val="minor"/>
      </rPr>
      <t>햄버거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메뉴</t>
    </r>
    <phoneticPr fontId="34" type="noConversion"/>
  </si>
  <si>
    <t>접속이력</t>
    <phoneticPr fontId="34" type="noConversion"/>
  </si>
  <si>
    <t>로그인</t>
    <phoneticPr fontId="42" type="noConversion"/>
  </si>
  <si>
    <t>로그인 버튼</t>
    <phoneticPr fontId="34" type="noConversion"/>
  </si>
  <si>
    <t>회사정보</t>
    <phoneticPr fontId="42" type="noConversion"/>
  </si>
  <si>
    <t>개인정보</t>
    <phoneticPr fontId="42" type="noConversion"/>
  </si>
  <si>
    <t>MUI-MS-01-M13</t>
    <phoneticPr fontId="34" type="noConversion"/>
  </si>
  <si>
    <t>알림</t>
    <phoneticPr fontId="34" type="noConversion"/>
  </si>
  <si>
    <t>notiPrst</t>
    <phoneticPr fontId="34" type="noConversion"/>
  </si>
  <si>
    <t>알림현황</t>
    <phoneticPr fontId="34" type="noConversion"/>
  </si>
  <si>
    <t>MUI-MS-01-P14</t>
    <phoneticPr fontId="34" type="noConversion"/>
  </si>
  <si>
    <t>bzentyChc</t>
    <phoneticPr fontId="34" type="noConversion"/>
  </si>
  <si>
    <r>
      <rPr>
        <sz val="9"/>
        <color theme="1"/>
        <rFont val="Calibri"/>
        <family val="3"/>
        <charset val="129"/>
        <scheme val="minor"/>
      </rPr>
      <t>업체선택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팝업</t>
    </r>
    <phoneticPr fontId="34" type="noConversion"/>
  </si>
  <si>
    <t>MUI-CM-03-M01</t>
    <phoneticPr fontId="34" type="noConversion"/>
  </si>
  <si>
    <t>로그인</t>
    <phoneticPr fontId="34" type="noConversion"/>
  </si>
  <si>
    <t>mainLogin</t>
    <phoneticPr fontId="34" type="noConversion"/>
  </si>
  <si>
    <t>로그인 - 방식 선택</t>
    <phoneticPr fontId="34" type="noConversion"/>
  </si>
  <si>
    <t>MUI-CM-03-M02</t>
    <phoneticPr fontId="34" type="noConversion"/>
  </si>
  <si>
    <t>idPswdLogin</t>
    <phoneticPr fontId="34" type="noConversion"/>
  </si>
  <si>
    <t>ID/PW</t>
    <phoneticPr fontId="34" type="noConversion"/>
  </si>
  <si>
    <t>IdFndng</t>
    <phoneticPr fontId="34" type="noConversion"/>
  </si>
  <si>
    <t>ID 찾기</t>
    <phoneticPr fontId="34" type="noConversion"/>
  </si>
  <si>
    <t>MUI-CM-03-M04</t>
    <phoneticPr fontId="34" type="noConversion"/>
  </si>
  <si>
    <t>IdRegInfoFndng</t>
    <phoneticPr fontId="34" type="noConversion"/>
  </si>
  <si>
    <t>등록정보로 찾기</t>
    <phoneticPr fontId="34" type="noConversion"/>
  </si>
  <si>
    <t>MUI-CM-03-M05</t>
    <phoneticPr fontId="34" type="noConversion"/>
  </si>
  <si>
    <t>IdRslt</t>
    <phoneticPr fontId="34" type="noConversion"/>
  </si>
  <si>
    <t>아이디 찾기 결과</t>
    <phoneticPr fontId="34" type="noConversion"/>
  </si>
  <si>
    <t>성공, 실패 결과 표출</t>
    <phoneticPr fontId="34" type="noConversion"/>
  </si>
  <si>
    <t>MUI-CM-03-M06</t>
    <phoneticPr fontId="34" type="noConversion"/>
  </si>
  <si>
    <t>PswdFndng</t>
    <phoneticPr fontId="34" type="noConversion"/>
  </si>
  <si>
    <t>PW 찾기</t>
    <phoneticPr fontId="34" type="noConversion"/>
  </si>
  <si>
    <t>MUI-CM-03-M07</t>
    <phoneticPr fontId="34" type="noConversion"/>
  </si>
  <si>
    <t>PswdRegInfoFndng</t>
    <phoneticPr fontId="34" type="noConversion"/>
  </si>
  <si>
    <t>MUI-CM-03-M08</t>
    <phoneticPr fontId="34" type="noConversion"/>
  </si>
  <si>
    <t>PswdRslt</t>
    <phoneticPr fontId="34" type="noConversion"/>
  </si>
  <si>
    <t>PW 찾기 결과</t>
    <phoneticPr fontId="34" type="noConversion"/>
  </si>
  <si>
    <t>PW 변경</t>
    <phoneticPr fontId="34" type="noConversion"/>
  </si>
  <si>
    <t>MUI-CM-03-M09</t>
    <phoneticPr fontId="34" type="noConversion"/>
  </si>
  <si>
    <t>UserRegInfo</t>
    <phoneticPr fontId="34" type="noConversion"/>
  </si>
  <si>
    <t>사용자 등록 안내</t>
    <phoneticPr fontId="34" type="noConversion"/>
  </si>
  <si>
    <t>MUI-CM-03-P10</t>
    <phoneticPr fontId="34" type="noConversion"/>
  </si>
  <si>
    <t>SimpleCert</t>
    <phoneticPr fontId="34" type="noConversion"/>
  </si>
  <si>
    <t>간편인증</t>
    <phoneticPr fontId="34" type="noConversion"/>
  </si>
  <si>
    <t>any-ID</t>
    <phoneticPr fontId="34" type="noConversion"/>
  </si>
  <si>
    <t>MUI-CM-03-P11</t>
    <phoneticPr fontId="34" type="noConversion"/>
  </si>
  <si>
    <t>FnstCert</t>
    <phoneticPr fontId="34" type="noConversion"/>
  </si>
  <si>
    <t>금융인증</t>
    <phoneticPr fontId="34" type="noConversion"/>
  </si>
  <si>
    <t>MUI-CM-03-P12</t>
    <phoneticPr fontId="34" type="noConversion"/>
  </si>
  <si>
    <t>JntCert</t>
    <phoneticPr fontId="34" type="noConversion"/>
  </si>
  <si>
    <t>공동인증</t>
    <phoneticPr fontId="34" type="noConversion"/>
  </si>
  <si>
    <t>MUI-CM-03-P13</t>
    <phoneticPr fontId="34" type="noConversion"/>
  </si>
  <si>
    <t>MobileIdntyCert</t>
    <phoneticPr fontId="34" type="noConversion"/>
  </si>
  <si>
    <t>모바일신분증</t>
    <phoneticPr fontId="34" type="noConversion"/>
  </si>
  <si>
    <t>모바일신분증 앱 연계</t>
    <phoneticPr fontId="34" type="noConversion"/>
  </si>
  <si>
    <t>MUI-CM-03-M14</t>
    <phoneticPr fontId="34" type="noConversion"/>
  </si>
  <si>
    <t>BioInfoCert</t>
    <phoneticPr fontId="34" type="noConversion"/>
  </si>
  <si>
    <t>생체인증</t>
    <phoneticPr fontId="34" type="noConversion"/>
  </si>
  <si>
    <t>디바이스 생체 인증</t>
    <phoneticPr fontId="34" type="noConversion"/>
  </si>
  <si>
    <t>MUI-CM-03-M15</t>
    <phoneticPr fontId="34" type="noConversion"/>
  </si>
  <si>
    <t>BioInfoCertReg</t>
    <phoneticPr fontId="34" type="noConversion"/>
  </si>
  <si>
    <t>생체인증 등록</t>
    <phoneticPr fontId="34" type="noConversion"/>
  </si>
  <si>
    <t>MUI-CM-03-P16</t>
    <phoneticPr fontId="34" type="noConversion"/>
  </si>
  <si>
    <t>CertRslt</t>
    <phoneticPr fontId="34" type="noConversion"/>
  </si>
  <si>
    <t>인증 성공 / 실패 안내</t>
    <phoneticPr fontId="34" type="noConversion"/>
  </si>
  <si>
    <t>MUI-CM-03-M17</t>
    <phoneticPr fontId="34" type="noConversion"/>
  </si>
  <si>
    <t>PcQRLgn</t>
    <phoneticPr fontId="34" type="noConversion"/>
  </si>
  <si>
    <t>PC QR 로그인</t>
    <phoneticPr fontId="34" type="noConversion"/>
  </si>
  <si>
    <t>OCR을 통한 QR 인증</t>
    <phoneticPr fontId="34" type="noConversion"/>
  </si>
  <si>
    <t>MUI-CM-03-P18</t>
    <phoneticPr fontId="34" type="noConversion"/>
  </si>
  <si>
    <t>LgoInfo</t>
    <phoneticPr fontId="34" type="noConversion"/>
  </si>
  <si>
    <t>로그아웃 안내</t>
    <phoneticPr fontId="34" type="noConversion"/>
  </si>
  <si>
    <t>MUI-CM-03-P19</t>
    <phoneticPr fontId="34" type="noConversion"/>
  </si>
  <si>
    <t>추가 260303</t>
    <phoneticPr fontId="34" type="noConversion"/>
  </si>
  <si>
    <t>LgnSrvcInfo</t>
    <phoneticPr fontId="34" type="noConversion"/>
  </si>
  <si>
    <t>로그인 필요 서비스 안내</t>
    <phoneticPr fontId="34" type="noConversion"/>
  </si>
  <si>
    <t>MUI-CM-06-M01</t>
    <phoneticPr fontId="34" type="noConversion"/>
  </si>
  <si>
    <t>마이페이지</t>
    <phoneticPr fontId="34" type="noConversion"/>
  </si>
  <si>
    <t>myPage</t>
    <phoneticPr fontId="34" type="noConversion"/>
  </si>
  <si>
    <t>PC 버전 위젯 맞춤 표시</t>
    <phoneticPr fontId="34" type="noConversion"/>
  </si>
  <si>
    <t>MUI-CM-06-M02</t>
    <phoneticPr fontId="34" type="noConversion"/>
  </si>
  <si>
    <t>myPrgrsHstry</t>
    <phoneticPr fontId="34" type="noConversion"/>
  </si>
  <si>
    <t>나의진행업무현황</t>
    <phoneticPr fontId="34" type="noConversion"/>
  </si>
  <si>
    <t>myPrgrsHstry_SrchFilter</t>
    <phoneticPr fontId="34" type="noConversion"/>
  </si>
  <si>
    <t>검색 필터</t>
    <phoneticPr fontId="34" type="noConversion"/>
  </si>
  <si>
    <t>MUI-CM-06-P03</t>
    <phoneticPr fontId="34" type="noConversion"/>
  </si>
  <si>
    <t>myPrgrsHstryDtl</t>
    <phoneticPr fontId="34" type="noConversion"/>
  </si>
  <si>
    <t>세부 스텝 팝업</t>
    <phoneticPr fontId="34" type="noConversion"/>
  </si>
  <si>
    <t>MUI-CM-06-M04</t>
    <phoneticPr fontId="34" type="noConversion"/>
  </si>
  <si>
    <t>myTaskHstry</t>
    <phoneticPr fontId="34" type="noConversion"/>
  </si>
  <si>
    <t>나의업무이력현황</t>
    <phoneticPr fontId="34" type="noConversion"/>
  </si>
  <si>
    <t>myTaskHstry_SrchFilter</t>
    <phoneticPr fontId="34" type="noConversion"/>
  </si>
  <si>
    <t>MUI-CM-01-M71</t>
    <phoneticPr fontId="34" type="noConversion"/>
  </si>
  <si>
    <t>국외 추가 260512</t>
    <phoneticPr fontId="34" type="noConversion"/>
  </si>
  <si>
    <t>국외 보관함</t>
    <phoneticPr fontId="34" type="noConversion"/>
  </si>
  <si>
    <t>ovsLockerPbanList</t>
    <phoneticPr fontId="34" type="noConversion"/>
  </si>
  <si>
    <t>국외 보관함 목록</t>
    <phoneticPr fontId="34" type="noConversion"/>
  </si>
  <si>
    <t>ovsLockerPbanList_SrchFilter</t>
    <phoneticPr fontId="34" type="noConversion"/>
  </si>
  <si>
    <t>검색필터</t>
    <phoneticPr fontId="34" type="noConversion"/>
  </si>
  <si>
    <t>국외 추가 260513</t>
    <phoneticPr fontId="34" type="noConversion"/>
  </si>
  <si>
    <t>ovsLockerPbanDtl</t>
    <phoneticPr fontId="34" type="noConversion"/>
  </si>
  <si>
    <t>국외 보관함 상세</t>
    <phoneticPr fontId="34" type="noConversion"/>
  </si>
  <si>
    <t>입찰 참가 신청
입찰 내역 작성</t>
    <phoneticPr fontId="34" type="noConversion"/>
  </si>
  <si>
    <t>ovsLockerItemMng</t>
    <phoneticPr fontId="34" type="noConversion"/>
  </si>
  <si>
    <t>보관함 품목 관리</t>
    <phoneticPr fontId="34" type="noConversion"/>
  </si>
  <si>
    <t>MUI-BD-01-M76</t>
    <phoneticPr fontId="34" type="noConversion"/>
  </si>
  <si>
    <t>ovsTmprBidCnReg</t>
    <phoneticPr fontId="34" type="noConversion"/>
  </si>
  <si>
    <t>입찰내역 작성</t>
    <phoneticPr fontId="34" type="noConversion"/>
  </si>
  <si>
    <t>일반정보</t>
    <phoneticPr fontId="34" type="noConversion"/>
  </si>
  <si>
    <t>국외 추가 260515</t>
    <phoneticPr fontId="34" type="noConversion"/>
  </si>
  <si>
    <t>입찰내역 (단가제)</t>
    <phoneticPr fontId="34" type="noConversion"/>
  </si>
  <si>
    <t>입찰내역 (총액제)</t>
    <phoneticPr fontId="34" type="noConversion"/>
  </si>
  <si>
    <t>MUI-BD-01-M79</t>
    <phoneticPr fontId="34" type="noConversion"/>
  </si>
  <si>
    <t>ovsBfrTmprBidBidCnReg</t>
    <phoneticPr fontId="34" type="noConversion"/>
  </si>
  <si>
    <t>이전공고입찰내역등록</t>
    <phoneticPr fontId="34" type="noConversion"/>
  </si>
  <si>
    <t>MUI-BD-01-P80</t>
    <phoneticPr fontId="34" type="noConversion"/>
  </si>
  <si>
    <t>ovsBfrTmprBidBidCnItemDtl</t>
    <phoneticPr fontId="34" type="noConversion"/>
  </si>
  <si>
    <t>이전공고입찰내역품목상세</t>
    <phoneticPr fontId="34" type="noConversion"/>
  </si>
  <si>
    <t>입찰 진행</t>
    <phoneticPr fontId="34" type="noConversion"/>
  </si>
  <si>
    <t>MUI-CM-06-M05</t>
    <phoneticPr fontId="34" type="noConversion"/>
  </si>
  <si>
    <t>itrstBidPbanc</t>
    <phoneticPr fontId="34" type="noConversion"/>
  </si>
  <si>
    <t>관심입찰공고</t>
    <phoneticPr fontId="34" type="noConversion"/>
  </si>
  <si>
    <t>MUI-CM-06-M06</t>
    <phoneticPr fontId="34" type="noConversion"/>
  </si>
  <si>
    <t>taskCldr</t>
    <phoneticPr fontId="34" type="noConversion"/>
  </si>
  <si>
    <t>업무캘린더</t>
    <phoneticPr fontId="34" type="noConversion"/>
  </si>
  <si>
    <t>공고 연결 (링크)</t>
    <phoneticPr fontId="34" type="noConversion"/>
  </si>
  <si>
    <t>taskCldrDtl</t>
    <phoneticPr fontId="34" type="noConversion"/>
  </si>
  <si>
    <t>일정 상세 정보 팝업</t>
    <phoneticPr fontId="34" type="noConversion"/>
  </si>
  <si>
    <t>taskCldrReg</t>
    <phoneticPr fontId="34" type="noConversion"/>
  </si>
  <si>
    <t>등록, 수정</t>
    <phoneticPr fontId="34" type="noConversion"/>
  </si>
  <si>
    <t>taskCldrDel</t>
    <phoneticPr fontId="34" type="noConversion"/>
  </si>
  <si>
    <t>삭제</t>
    <phoneticPr fontId="34" type="noConversion"/>
  </si>
  <si>
    <t>-</t>
    <phoneticPr fontId="34" type="noConversion"/>
  </si>
  <si>
    <t>날짜 입력기 팝업</t>
    <phoneticPr fontId="34" type="noConversion"/>
  </si>
  <si>
    <t>MUI-CM-06-M10</t>
    <phoneticPr fontId="34" type="noConversion"/>
  </si>
  <si>
    <t>DocBox</t>
    <phoneticPr fontId="34" type="noConversion"/>
  </si>
  <si>
    <t>문서함</t>
    <phoneticPr fontId="34" type="noConversion"/>
  </si>
  <si>
    <r>
      <t>추가</t>
    </r>
    <r>
      <rPr>
        <sz val="9"/>
        <color rgb="FFFF0000"/>
        <rFont val="Calibri"/>
        <family val="2"/>
        <scheme val="minor"/>
      </rPr>
      <t>0608</t>
    </r>
    <phoneticPr fontId="34" type="noConversion"/>
  </si>
  <si>
    <t>추가 260528</t>
    <phoneticPr fontId="34" type="noConversion"/>
  </si>
  <si>
    <t>DocBox_SrchFilter</t>
    <phoneticPr fontId="34" type="noConversion"/>
  </si>
  <si>
    <t>DocBoxDtl</t>
    <phoneticPr fontId="34" type="noConversion"/>
  </si>
  <si>
    <t>문서함 상세</t>
    <phoneticPr fontId="34" type="noConversion"/>
  </si>
  <si>
    <t>세부 내역</t>
    <phoneticPr fontId="34" type="noConversion"/>
  </si>
  <si>
    <t>indvRcofcMng</t>
    <phoneticPr fontId="34" type="noConversion"/>
  </si>
  <si>
    <t>개인별수신처관리</t>
    <phoneticPr fontId="34" type="noConversion"/>
  </si>
  <si>
    <t>MUI-CM-06-M13</t>
    <phoneticPr fontId="34" type="noConversion"/>
  </si>
  <si>
    <t>itrstStt</t>
    <phoneticPr fontId="34" type="noConversion"/>
  </si>
  <si>
    <t>관심법령</t>
    <phoneticPr fontId="34" type="noConversion"/>
  </si>
  <si>
    <t>상세 - 외부 링크</t>
    <phoneticPr fontId="34" type="noConversion"/>
  </si>
  <si>
    <t>MUI-CM-06-M17</t>
    <phoneticPr fontId="34" type="noConversion"/>
  </si>
  <si>
    <t>추가 260429</t>
    <phoneticPr fontId="34" type="noConversion"/>
  </si>
  <si>
    <t>myPst</t>
    <phoneticPr fontId="34" type="noConversion"/>
  </si>
  <si>
    <t>나의 게시물</t>
    <phoneticPr fontId="34" type="noConversion"/>
  </si>
  <si>
    <t>myPstDtl</t>
    <phoneticPr fontId="34" type="noConversion"/>
  </si>
  <si>
    <t>상세</t>
    <phoneticPr fontId="34" type="noConversion"/>
  </si>
  <si>
    <t>MUI-CM-01-M01</t>
    <phoneticPr fontId="34" type="noConversion"/>
  </si>
  <si>
    <t>bzentyGnrlInfoMng</t>
    <phoneticPr fontId="34" type="noConversion"/>
  </si>
  <si>
    <t>업체정보관리</t>
    <phoneticPr fontId="34" type="noConversion"/>
  </si>
  <si>
    <t>MUI-CM-01-M02</t>
    <phoneticPr fontId="34" type="noConversion"/>
  </si>
  <si>
    <t>bzentyGnrlInfoDtl</t>
    <phoneticPr fontId="34" type="noConversion"/>
  </si>
  <si>
    <t>업체정보 상세</t>
    <phoneticPr fontId="34" type="noConversion"/>
  </si>
  <si>
    <t>업체, 사용자 정보 갱신 요청</t>
    <phoneticPr fontId="34" type="noConversion"/>
  </si>
  <si>
    <t>MUI-CM-01-M03</t>
    <phoneticPr fontId="34" type="noConversion"/>
  </si>
  <si>
    <t>추가 260529</t>
    <phoneticPr fontId="34" type="noConversion"/>
  </si>
  <si>
    <t>addRegInfoAplyList</t>
    <phoneticPr fontId="34" type="noConversion"/>
  </si>
  <si>
    <t>추가정보 신청 목록</t>
    <phoneticPr fontId="34" type="noConversion"/>
  </si>
  <si>
    <t>addRegInfoAplyDtl</t>
    <phoneticPr fontId="34" type="noConversion"/>
  </si>
  <si>
    <t>신청 내역 상세</t>
    <phoneticPr fontId="34" type="noConversion"/>
  </si>
  <si>
    <t>MUI-CM-01-M05</t>
    <phoneticPr fontId="34" type="noConversion"/>
  </si>
  <si>
    <t>dmstLctnColInfoAddReg</t>
    <phoneticPr fontId="34" type="noConversion"/>
  </si>
  <si>
    <t>업체정보 추가등록</t>
    <phoneticPr fontId="42" type="noConversion"/>
  </si>
  <si>
    <t>MUI-CM-01-P06</t>
    <phoneticPr fontId="34" type="noConversion"/>
  </si>
  <si>
    <t>KnditmChc</t>
    <phoneticPr fontId="34" type="noConversion"/>
  </si>
  <si>
    <t>품류선택 팝업</t>
    <phoneticPr fontId="34" type="noConversion"/>
  </si>
  <si>
    <t>AsctGrpChc</t>
    <phoneticPr fontId="34" type="noConversion"/>
  </si>
  <si>
    <t>조합/단체 선택 팝업</t>
    <phoneticPr fontId="34" type="noConversion"/>
  </si>
  <si>
    <t>MUI-CM-01-P08</t>
    <phoneticPr fontId="34" type="noConversion"/>
  </si>
  <si>
    <t>RegTrgtItemChc</t>
    <phoneticPr fontId="34" type="noConversion"/>
  </si>
  <si>
    <t>등록대상 품목 선택 팝업</t>
    <phoneticPr fontId="34" type="noConversion"/>
  </si>
  <si>
    <t>ItemInq</t>
    <phoneticPr fontId="34" type="noConversion"/>
  </si>
  <si>
    <t>품목 조회 팝업</t>
    <phoneticPr fontId="34" type="noConversion"/>
  </si>
  <si>
    <t>ScrtyMsrmtPrsnlReg</t>
    <phoneticPr fontId="34" type="noConversion"/>
  </si>
  <si>
    <t>보안측정인원등록</t>
    <phoneticPr fontId="34" type="noConversion"/>
  </si>
  <si>
    <t>보안측정인원 필수?</t>
    <phoneticPr fontId="34" type="noConversion"/>
  </si>
  <si>
    <t>FSCChc</t>
    <phoneticPr fontId="34" type="noConversion"/>
  </si>
  <si>
    <t>FSC 선택</t>
    <phoneticPr fontId="34" type="noConversion"/>
  </si>
  <si>
    <t>bankChc</t>
    <phoneticPr fontId="34" type="noConversion"/>
  </si>
  <si>
    <t>주거래은행 선택</t>
    <phoneticPr fontId="34" type="noConversion"/>
  </si>
  <si>
    <t>MUI-CM-01-P13</t>
    <phoneticPr fontId="34" type="noConversion"/>
  </si>
  <si>
    <t>pbamdsInfoJntUtztnBfhdWtcs</t>
    <phoneticPr fontId="34" type="noConversion"/>
  </si>
  <si>
    <t>행정정보공동이용 사전동의서</t>
    <phoneticPr fontId="34" type="noConversion"/>
  </si>
  <si>
    <t>MUI-CM-01-P14</t>
    <phoneticPr fontId="34" type="noConversion"/>
  </si>
  <si>
    <t>ConfirmPopup</t>
    <phoneticPr fontId="34" type="noConversion"/>
  </si>
  <si>
    <t>확인 팝업</t>
    <phoneticPr fontId="42" type="noConversion"/>
  </si>
  <si>
    <r>
      <t>삭제</t>
    </r>
    <r>
      <rPr>
        <sz val="9"/>
        <color rgb="FFFF0000"/>
        <rFont val="Calibri"/>
        <family val="2"/>
        <scheme val="minor"/>
      </rPr>
      <t>0608</t>
    </r>
    <phoneticPr fontId="34" type="noConversion"/>
  </si>
  <si>
    <t>MUI-CM-01-M15</t>
    <phoneticPr fontId="34" type="noConversion"/>
  </si>
  <si>
    <t>dfEqpmntTradeAgncAplyList</t>
    <phoneticPr fontId="34" type="noConversion"/>
  </si>
  <si>
    <r>
      <rPr>
        <sz val="9"/>
        <color theme="1"/>
        <rFont val="Calibri"/>
        <family val="3"/>
        <charset val="129"/>
        <scheme val="minor"/>
      </rPr>
      <t>군수품무역대리업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신청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발급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목록</t>
    </r>
    <phoneticPr fontId="34" type="noConversion"/>
  </si>
  <si>
    <t>추가 260602</t>
    <phoneticPr fontId="34" type="noConversion"/>
  </si>
  <si>
    <t>dfEqpmntTradeAgncAplyDtl</t>
    <phoneticPr fontId="34" type="noConversion"/>
  </si>
  <si>
    <t>신청 내역 상세</t>
    <phoneticPr fontId="34" type="noConversion"/>
  </si>
  <si>
    <t>Y</t>
    <phoneticPr fontId="34" type="noConversion"/>
  </si>
  <si>
    <t>dfEqpmntTradeAgncAply</t>
    <phoneticPr fontId="34" type="noConversion"/>
  </si>
  <si>
    <t>신규(갱신)</t>
    <phoneticPr fontId="34" type="noConversion"/>
  </si>
  <si>
    <t>dfEqpmntTradeAgncChg</t>
    <phoneticPr fontId="34" type="noConversion"/>
  </si>
  <si>
    <t>변경</t>
    <phoneticPr fontId="34" type="noConversion"/>
  </si>
  <si>
    <t>등록증 발급</t>
    <phoneticPr fontId="34" type="noConversion"/>
  </si>
  <si>
    <t>MUI-CM-01-M19</t>
    <phoneticPr fontId="34" type="noConversion"/>
  </si>
  <si>
    <t>dmstSosCnfdocList</t>
    <phoneticPr fontId="34" type="noConversion"/>
  </si>
  <si>
    <t>조달원 확인서</t>
    <phoneticPr fontId="34" type="noConversion"/>
  </si>
  <si>
    <t>MUI-CM-01-P20</t>
    <phoneticPr fontId="34" type="noConversion"/>
  </si>
  <si>
    <t>dmstSosCnfdocAply</t>
    <phoneticPr fontId="34" type="noConversion"/>
  </si>
  <si>
    <t>조달원 확인서 신청</t>
    <phoneticPr fontId="34" type="noConversion"/>
  </si>
  <si>
    <t>ovsdmstSosCnfdoc</t>
    <phoneticPr fontId="34" type="noConversion"/>
  </si>
  <si>
    <t>국외조달원등록증신청안내</t>
    <phoneticPr fontId="34" type="noConversion"/>
  </si>
  <si>
    <t>MUI-CM-02-M01</t>
    <phoneticPr fontId="34" type="noConversion"/>
  </si>
  <si>
    <t>indvInfoMng</t>
    <phoneticPr fontId="34" type="noConversion"/>
  </si>
  <si>
    <t>사용자정보관리</t>
    <phoneticPr fontId="34" type="noConversion"/>
  </si>
  <si>
    <t>indvCert</t>
    <phoneticPr fontId="34" type="noConversion"/>
  </si>
  <si>
    <t>개인(생체)인증/비밀번호 인증</t>
    <phoneticPr fontId="34" type="noConversion"/>
  </si>
  <si>
    <t>MUI-CM-02-M03</t>
    <phoneticPr fontId="34" type="noConversion"/>
  </si>
  <si>
    <t>indvInfoDtl</t>
    <phoneticPr fontId="34" type="noConversion"/>
  </si>
  <si>
    <t>개인정보 상세</t>
    <phoneticPr fontId="42" type="noConversion"/>
  </si>
  <si>
    <t>MUI-CM-02-M04</t>
    <phoneticPr fontId="34" type="noConversion"/>
  </si>
  <si>
    <t>indvInfoMdfcn</t>
    <phoneticPr fontId="34" type="noConversion"/>
  </si>
  <si>
    <t>개인정보수정</t>
    <phoneticPr fontId="42" type="noConversion"/>
  </si>
  <si>
    <t>MUI-CM-02-M05</t>
    <phoneticPr fontId="34" type="noConversion"/>
  </si>
  <si>
    <t>pswdChg</t>
    <phoneticPr fontId="34" type="noConversion"/>
  </si>
  <si>
    <t>비밀번호 변경</t>
    <phoneticPr fontId="34" type="noConversion"/>
  </si>
  <si>
    <t>MUI-CM-02-M06</t>
    <phoneticPr fontId="34" type="noConversion"/>
  </si>
  <si>
    <t>indvIdntIdnty</t>
    <phoneticPr fontId="34" type="noConversion"/>
  </si>
  <si>
    <t>개인신원확인</t>
    <phoneticPr fontId="34" type="noConversion"/>
  </si>
  <si>
    <t>MUI-CM-02-M07</t>
    <phoneticPr fontId="34" type="noConversion"/>
  </si>
  <si>
    <t>prcmBzentyUserMng</t>
    <phoneticPr fontId="34" type="noConversion"/>
  </si>
  <si>
    <t>업체 소속 사용자 목록</t>
    <phoneticPr fontId="34" type="noConversion"/>
  </si>
  <si>
    <t>MUI-CM-02-P08</t>
    <phoneticPr fontId="34" type="noConversion"/>
  </si>
  <si>
    <t>prcmBzentyUserSttsChg</t>
    <phoneticPr fontId="34" type="noConversion"/>
  </si>
  <si>
    <t>상태 변경</t>
    <phoneticPr fontId="34" type="noConversion"/>
  </si>
  <si>
    <t>MUI-CM-06-M14</t>
    <phoneticPr fontId="34" type="noConversion"/>
  </si>
  <si>
    <t>digitalCabinet</t>
    <phoneticPr fontId="34" type="noConversion"/>
  </si>
  <si>
    <t>디지털캐비닛</t>
    <phoneticPr fontId="34" type="noConversion"/>
  </si>
  <si>
    <t>폴더 목록</t>
    <phoneticPr fontId="34" type="noConversion"/>
  </si>
  <si>
    <t>MUI-CM-06-P15</t>
    <phoneticPr fontId="34" type="noConversion"/>
  </si>
  <si>
    <t>digitalCabinetMng</t>
    <phoneticPr fontId="34" type="noConversion"/>
  </si>
  <si>
    <t>폴더 설정 권한 관리</t>
    <phoneticPr fontId="34" type="noConversion"/>
  </si>
  <si>
    <t>MUI-CM-06-M16</t>
    <phoneticPr fontId="34" type="noConversion"/>
  </si>
  <si>
    <t>digitalCabinetFileList</t>
    <phoneticPr fontId="34" type="noConversion"/>
  </si>
  <si>
    <t>폴더 내 파일 목록</t>
    <phoneticPr fontId="34" type="noConversion"/>
  </si>
  <si>
    <t>MUI-CM-02-M09</t>
    <phoneticPr fontId="34" type="noConversion"/>
  </si>
  <si>
    <t>notiSrvcAply</t>
    <phoneticPr fontId="34" type="noConversion"/>
  </si>
  <si>
    <t>알림서비스신청및해지</t>
    <phoneticPr fontId="42" type="noConversion"/>
  </si>
  <si>
    <t>토글 스위치</t>
    <phoneticPr fontId="42" type="noConversion"/>
  </si>
  <si>
    <t>확인 팝업</t>
    <phoneticPr fontId="34" type="noConversion"/>
  </si>
  <si>
    <t>MUI-CM-02-P10</t>
    <phoneticPr fontId="34" type="noConversion"/>
  </si>
  <si>
    <t>MbWithdrawal</t>
    <phoneticPr fontId="34" type="noConversion"/>
  </si>
  <si>
    <t>회원탈퇴</t>
    <phoneticPr fontId="42" type="noConversion"/>
  </si>
  <si>
    <t>MUI-OP-01-M01</t>
    <phoneticPr fontId="34" type="noConversion"/>
  </si>
  <si>
    <t>국내/국외</t>
    <phoneticPr fontId="34" type="noConversion"/>
  </si>
  <si>
    <t>조달계획</t>
    <phoneticPr fontId="34" type="noConversion"/>
  </si>
  <si>
    <t>PrcmIPlanntgListPage</t>
  </si>
  <si>
    <t>조달계획관리</t>
    <phoneticPr fontId="42" type="noConversion"/>
  </si>
  <si>
    <t>조달계획통합목록</t>
    <phoneticPr fontId="34" type="noConversion"/>
  </si>
  <si>
    <t>MUI-OP-01-M02</t>
    <phoneticPr fontId="34" type="noConversion"/>
  </si>
  <si>
    <t>PrcmPlanIntgList_SrchFilter</t>
  </si>
  <si>
    <t>MUI-OP-01-P71</t>
    <phoneticPr fontId="34" type="noConversion"/>
  </si>
  <si>
    <t>국외</t>
    <phoneticPr fontId="34" type="noConversion"/>
  </si>
  <si>
    <t>ItemInq</t>
  </si>
  <si>
    <t>품목별 검색</t>
    <phoneticPr fontId="34" type="noConversion"/>
  </si>
  <si>
    <t>PrdcrInq</t>
  </si>
  <si>
    <t>생산자 검색</t>
    <phoneticPr fontId="34" type="noConversion"/>
  </si>
  <si>
    <t>MUI-OP-01-M03</t>
    <phoneticPr fontId="34" type="noConversion"/>
  </si>
  <si>
    <t>국내</t>
    <phoneticPr fontId="34" type="noConversion"/>
  </si>
  <si>
    <t>조달계획상세</t>
    <phoneticPr fontId="34" type="noConversion"/>
  </si>
  <si>
    <t>PrcmPlanDtl</t>
  </si>
  <si>
    <t>상세내용</t>
    <phoneticPr fontId="34" type="noConversion"/>
  </si>
  <si>
    <t>MUI-OP-01-M04</t>
    <phoneticPr fontId="34" type="noConversion"/>
  </si>
  <si>
    <t>PrcmPlanDtl_PrdList</t>
  </si>
  <si>
    <t>품목명세서</t>
    <phoneticPr fontId="34" type="noConversion"/>
  </si>
  <si>
    <t>MUI-OP-01-M05</t>
    <phoneticPr fontId="34" type="noConversion"/>
  </si>
  <si>
    <t>PrcmPlanDtl_OpnnList</t>
  </si>
  <si>
    <t>업체의견</t>
    <phoneticPr fontId="34" type="noConversion"/>
  </si>
  <si>
    <t>MUI-OP-01-P06</t>
    <phoneticPr fontId="34" type="noConversion"/>
  </si>
  <si>
    <t>PrcmPlanDtl_OpnnDtl</t>
    <phoneticPr fontId="34" type="noConversion"/>
  </si>
  <si>
    <t>업체의견 상세</t>
    <phoneticPr fontId="34" type="noConversion"/>
  </si>
  <si>
    <t>PrcmPlanDtl_OpnnDtl</t>
  </si>
  <si>
    <t>업체의견 답변 상세</t>
    <phoneticPr fontId="34" type="noConversion"/>
  </si>
  <si>
    <t>MUI-OP-01-P07</t>
    <phoneticPr fontId="34" type="noConversion"/>
  </si>
  <si>
    <t>PrcmPlanDtl_OpnnReg</t>
    <phoneticPr fontId="34" type="noConversion"/>
  </si>
  <si>
    <t>업체의견 등록</t>
    <phoneticPr fontId="42" type="noConversion"/>
  </si>
  <si>
    <t>PrcmPlanDtl_spclCtrt</t>
  </si>
  <si>
    <t>계약특수조건</t>
    <phoneticPr fontId="34" type="noConversion"/>
  </si>
  <si>
    <t>PrcmPlanDtl_Doc</t>
    <phoneticPr fontId="34" type="noConversion"/>
  </si>
  <si>
    <t>첨부서류</t>
    <phoneticPr fontId="34" type="noConversion"/>
  </si>
  <si>
    <t>MUI-OP-01-P10</t>
    <phoneticPr fontId="34" type="noConversion"/>
  </si>
  <si>
    <t>PrcmPlan_NotiAply</t>
    <phoneticPr fontId="34" type="noConversion"/>
  </si>
  <si>
    <t>입찰공고 알림신청</t>
    <phoneticPr fontId="34" type="noConversion"/>
  </si>
  <si>
    <t>MUI-OP-01-P12</t>
    <phoneticPr fontId="34" type="noConversion"/>
  </si>
  <si>
    <t>AnlPrcmPlanDtl</t>
    <phoneticPr fontId="34" type="noConversion"/>
  </si>
  <si>
    <t>연관 조달계획상세</t>
    <phoneticPr fontId="34" type="noConversion"/>
  </si>
  <si>
    <t>MUI-OP-01-M11</t>
    <phoneticPr fontId="34" type="noConversion"/>
  </si>
  <si>
    <t>BfhdSpcfctDtlPage</t>
  </si>
  <si>
    <t>사전규격상세</t>
    <phoneticPr fontId="34" type="noConversion"/>
  </si>
  <si>
    <t>BfhdSpcfctDtl_OpnnList</t>
  </si>
  <si>
    <t>업체의견</t>
    <phoneticPr fontId="42" type="noConversion"/>
  </si>
  <si>
    <t>BfhdSpcfctDtl_OpnnDtl</t>
  </si>
  <si>
    <t>BfhdSpcfctDtl_OpnnReg</t>
  </si>
  <si>
    <t>BfhdSpcfctDtl_Doc</t>
  </si>
  <si>
    <t>MUI-OP-01-P13</t>
    <phoneticPr fontId="34" type="noConversion"/>
  </si>
  <si>
    <t>국내 추가 260527</t>
    <phoneticPr fontId="34" type="noConversion"/>
  </si>
  <si>
    <t>AnlBfhdSpcfctDtl</t>
  </si>
  <si>
    <r>
      <t>연관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사전규격상세</t>
    </r>
    <phoneticPr fontId="34" type="noConversion"/>
  </si>
  <si>
    <t>MUI-OP-01-M73</t>
    <phoneticPr fontId="34" type="noConversion"/>
  </si>
  <si>
    <t>OvsPrcmPlanDtlPage</t>
  </si>
  <si>
    <t>-</t>
    <phoneticPr fontId="34" type="noConversion"/>
  </si>
  <si>
    <t>집행계획</t>
    <phoneticPr fontId="34" type="noConversion"/>
  </si>
  <si>
    <t>MUI-OP-01-M74</t>
    <phoneticPr fontId="34" type="noConversion"/>
  </si>
  <si>
    <t>국외</t>
    <phoneticPr fontId="34" type="noConversion"/>
  </si>
  <si>
    <t>OvsPrcmPlanDtl_RsltList</t>
  </si>
  <si>
    <t>결과목록</t>
    <phoneticPr fontId="34" type="noConversion"/>
  </si>
  <si>
    <t>MUI-OP-01-P75</t>
    <phoneticPr fontId="34" type="noConversion"/>
  </si>
  <si>
    <t>PrcDataList</t>
  </si>
  <si>
    <t>품목별가격자료</t>
    <phoneticPr fontId="34" type="noConversion"/>
  </si>
  <si>
    <t>MUI-OP-01-P76</t>
    <phoneticPr fontId="34" type="noConversion"/>
  </si>
  <si>
    <t>WarSplList_Cnfg</t>
  </si>
  <si>
    <t>목록정보조회 - 형상자료</t>
    <phoneticPr fontId="34" type="noConversion"/>
  </si>
  <si>
    <t>WarSplList_Idntf</t>
  </si>
  <si>
    <r>
      <t xml:space="preserve">목록정보조회 - </t>
    </r>
    <r>
      <rPr>
        <sz val="8"/>
        <color rgb="FF000000"/>
        <rFont val="Arial"/>
        <family val="2"/>
      </rPr>
      <t>식별자료</t>
    </r>
    <phoneticPr fontId="34" type="noConversion"/>
  </si>
  <si>
    <t>WarSplList_Ref</t>
  </si>
  <si>
    <r>
      <t xml:space="preserve">목록정보조회 - </t>
    </r>
    <r>
      <rPr>
        <sz val="8"/>
        <color rgb="FF000000"/>
        <rFont val="Arial"/>
        <family val="2"/>
      </rPr>
      <t>참고자료</t>
    </r>
    <phoneticPr fontId="34" type="noConversion"/>
  </si>
  <si>
    <t>Y</t>
    <phoneticPr fontId="34" type="noConversion"/>
  </si>
  <si>
    <t>MUI-OP-01-P77</t>
    <phoneticPr fontId="34" type="noConversion"/>
  </si>
  <si>
    <t>WarSplList_BzEnty</t>
  </si>
  <si>
    <t>목록정보조회 - 업체정보</t>
    <phoneticPr fontId="34" type="noConversion"/>
  </si>
  <si>
    <t>MUI-BD-01-M01</t>
    <phoneticPr fontId="34" type="noConversion"/>
  </si>
  <si>
    <t>입찰</t>
    <phoneticPr fontId="34" type="noConversion"/>
  </si>
  <si>
    <t>BidPbancIntgListPage</t>
  </si>
  <si>
    <t>입찰공고</t>
    <phoneticPr fontId="42" type="noConversion"/>
  </si>
  <si>
    <t>입찰공고통합목록</t>
    <phoneticPr fontId="34" type="noConversion"/>
  </si>
  <si>
    <t>MUI-BD-01-M02</t>
    <phoneticPr fontId="34" type="noConversion"/>
  </si>
  <si>
    <t>BidPbancIntgList_SrchFilter</t>
  </si>
  <si>
    <t>검색필터</t>
    <phoneticPr fontId="34" type="noConversion"/>
  </si>
  <si>
    <t>발주부서(기관)검색</t>
    <phoneticPr fontId="42" type="noConversion"/>
  </si>
  <si>
    <t>MUI-BD-01-P03</t>
    <phoneticPr fontId="34" type="noConversion"/>
  </si>
  <si>
    <t>RgnSrch</t>
  </si>
  <si>
    <t>지역검색</t>
    <phoneticPr fontId="34" type="noConversion"/>
  </si>
  <si>
    <t>MUI-BD-01-P04</t>
    <phoneticPr fontId="34" type="noConversion"/>
  </si>
  <si>
    <t>OrderDeptSrch</t>
  </si>
  <si>
    <t>LcnsInfoSrch</t>
  </si>
  <si>
    <t>면허정보검색</t>
    <phoneticPr fontId="34" type="noConversion"/>
  </si>
  <si>
    <t>MUI-BD-01-P06</t>
    <phoneticPr fontId="34" type="noConversion"/>
  </si>
  <si>
    <t>DateInput</t>
  </si>
  <si>
    <t>날짜 설정</t>
    <phoneticPr fontId="34" type="noConversion"/>
  </si>
  <si>
    <t>MUI-BD-01-M07</t>
    <phoneticPr fontId="34" type="noConversion"/>
  </si>
  <si>
    <t>BidPbancDtl</t>
  </si>
  <si>
    <t>입찰공고상세</t>
    <phoneticPr fontId="34" type="noConversion"/>
  </si>
  <si>
    <t>BidPbancDtl_Tacpg02</t>
  </si>
  <si>
    <t>기초예비가격</t>
    <phoneticPr fontId="34" type="noConversion"/>
  </si>
  <si>
    <t>BidPbancDtl_Tacpg03</t>
  </si>
  <si>
    <t>BidPbancDtl_Tacpg04</t>
  </si>
  <si>
    <t>BidPbancDtl_Tacpg06</t>
  </si>
  <si>
    <t>공고문안</t>
    <phoneticPr fontId="34" type="noConversion"/>
  </si>
  <si>
    <t>MUI-BD-01-M12</t>
    <phoneticPr fontId="34" type="noConversion"/>
  </si>
  <si>
    <t>BidPbancDtl_Tacpg07</t>
  </si>
  <si>
    <t>입찰진행현황</t>
    <phoneticPr fontId="34" type="noConversion"/>
  </si>
  <si>
    <t>MUI-BD-01-P13</t>
    <phoneticPr fontId="34" type="noConversion"/>
  </si>
  <si>
    <t>Toast</t>
  </si>
  <si>
    <t>관심공고 등록</t>
    <phoneticPr fontId="34" type="noConversion"/>
  </si>
  <si>
    <t>MUI-BD-01-P14</t>
    <phoneticPr fontId="34" type="noConversion"/>
  </si>
  <si>
    <t>DcmntOtptIdnty</t>
  </si>
  <si>
    <t>서류 출력 확인</t>
    <phoneticPr fontId="34" type="noConversion"/>
  </si>
  <si>
    <t>MUI-BD-01-R15</t>
    <phoneticPr fontId="34" type="noConversion"/>
  </si>
  <si>
    <t>DcmntOtpt</t>
  </si>
  <si>
    <t>서류 출력 - OZ리포트</t>
    <phoneticPr fontId="34" type="noConversion"/>
  </si>
  <si>
    <t>서류 출력</t>
    <phoneticPr fontId="42" type="noConversion"/>
  </si>
  <si>
    <t>MUI-BD-01-P17</t>
    <phoneticPr fontId="34" type="noConversion"/>
  </si>
  <si>
    <t>FloatBtn</t>
  </si>
  <si>
    <t>플로팅 버튼</t>
    <phoneticPr fontId="42" type="noConversion"/>
  </si>
  <si>
    <t>입찰서(견적서)작성</t>
    <phoneticPr fontId="34" type="noConversion"/>
  </si>
  <si>
    <t>입찰서(견적서)작성 이동</t>
    <phoneticPr fontId="34" type="noConversion"/>
  </si>
  <si>
    <t>사전심사(PQ)신청</t>
    <phoneticPr fontId="42" type="noConversion"/>
  </si>
  <si>
    <t>사전심사(PQ)신청 이동</t>
    <phoneticPr fontId="34" type="noConversion"/>
  </si>
  <si>
    <t>MUI-BD-03-M01</t>
    <phoneticPr fontId="34" type="noConversion"/>
  </si>
  <si>
    <t>BidPrgrsListForBzentyPage</t>
  </si>
  <si>
    <t>입찰진행 목록</t>
    <phoneticPr fontId="42" type="noConversion"/>
  </si>
  <si>
    <t>MUI-BD-03-M02</t>
    <phoneticPr fontId="34" type="noConversion"/>
  </si>
  <si>
    <t>BidPrgsDtlInqPage</t>
  </si>
  <si>
    <t>입찰진행 상세</t>
    <phoneticPr fontId="34" type="noConversion"/>
  </si>
  <si>
    <t>MUI-BD-03-P03</t>
    <phoneticPr fontId="34" type="noConversion"/>
  </si>
  <si>
    <t>BidAbndAperWrt</t>
  </si>
  <si>
    <t>입찰포기신청서작성</t>
    <phoneticPr fontId="42" type="noConversion"/>
  </si>
  <si>
    <t>BidRtrcnAperInq</t>
  </si>
  <si>
    <t>입찰취소신청서작성</t>
    <phoneticPr fontId="42" type="noConversion"/>
  </si>
  <si>
    <t>전자서명</t>
    <phoneticPr fontId="34" type="noConversion"/>
  </si>
  <si>
    <t>MUI-BD-03-M05</t>
    <phoneticPr fontId="34" type="noConversion"/>
  </si>
  <si>
    <t>BidRegRsltInqPage</t>
  </si>
  <si>
    <t>입찰등록결과</t>
    <phoneticPr fontId="34" type="noConversion"/>
  </si>
  <si>
    <t>MUI-BD-02-M02</t>
    <phoneticPr fontId="34" type="noConversion"/>
  </si>
  <si>
    <t>BfhdSrngRsltInqPage</t>
  </si>
  <si>
    <t>사전심사(PQ)결과</t>
    <phoneticPr fontId="34" type="noConversion"/>
  </si>
  <si>
    <t>입찰결과상세</t>
    <phoneticPr fontId="42" type="noConversion"/>
  </si>
  <si>
    <t>MUI-BD-07-P01</t>
    <phoneticPr fontId="34" type="noConversion"/>
  </si>
  <si>
    <t>TechEvlRsltInq</t>
  </si>
  <si>
    <t>기술평가결과</t>
    <phoneticPr fontId="34" type="noConversion"/>
  </si>
  <si>
    <t>MUI-BD-03-P06</t>
    <phoneticPr fontId="34" type="noConversion"/>
  </si>
  <si>
    <t>PrdctnAbltDcmntSbmsn</t>
  </si>
  <si>
    <t>생산능력서류제출</t>
    <phoneticPr fontId="42" type="noConversion"/>
  </si>
  <si>
    <t>MUI-BD-03-P07</t>
    <phoneticPr fontId="34" type="noConversion"/>
  </si>
  <si>
    <t>BidPrtcpAplyRjct</t>
  </si>
  <si>
    <t>입찰참가등록반려신청</t>
    <phoneticPr fontId="42" type="noConversion"/>
  </si>
  <si>
    <t>MUI-BD-02-M01</t>
    <phoneticPr fontId="34" type="noConversion"/>
  </si>
  <si>
    <t>BfhdSrngAplyPage</t>
  </si>
  <si>
    <t>사전심사(PQ)신청</t>
    <phoneticPr fontId="34" type="noConversion"/>
  </si>
  <si>
    <t>파일 첨부</t>
    <phoneticPr fontId="42" type="noConversion"/>
  </si>
  <si>
    <t>캐비닛 연결</t>
    <phoneticPr fontId="42" type="noConversion"/>
  </si>
  <si>
    <t>신청 완료</t>
    <phoneticPr fontId="34" type="noConversion"/>
  </si>
  <si>
    <t>BidPrtcpAperWrt</t>
  </si>
  <si>
    <t>입찰참가신청서작성</t>
    <phoneticPr fontId="42" type="noConversion"/>
  </si>
  <si>
    <t>MUI-BD-04-M01</t>
    <phoneticPr fontId="34" type="noConversion"/>
  </si>
  <si>
    <t>WrotAgrePage</t>
  </si>
  <si>
    <t>서약서동의 목록</t>
    <phoneticPr fontId="42" type="noConversion"/>
  </si>
  <si>
    <t>유효성 검사</t>
    <phoneticPr fontId="34" type="noConversion"/>
  </si>
  <si>
    <t>MUI-BD-04-P02</t>
    <phoneticPr fontId="34" type="noConversion"/>
  </si>
  <si>
    <t>WrotAgrePage_Wrot1</t>
  </si>
  <si>
    <t>서약서1</t>
    <phoneticPr fontId="42" type="noConversion"/>
  </si>
  <si>
    <t>WrotAgrePage_Wrot2</t>
  </si>
  <si>
    <t>서약서2</t>
    <phoneticPr fontId="42" type="noConversion"/>
  </si>
  <si>
    <t>WrotAgrePage_Wrot3</t>
  </si>
  <si>
    <t>서약서3</t>
    <phoneticPr fontId="42" type="noConversion"/>
  </si>
  <si>
    <t>MUI-BD-04-M05</t>
    <phoneticPr fontId="34" type="noConversion"/>
  </si>
  <si>
    <t>BidPrtcpAperWrtPage_Stp1</t>
  </si>
  <si>
    <t>스탭 1 - 일반정보</t>
    <phoneticPr fontId="34" type="noConversion"/>
  </si>
  <si>
    <t>참가자격 유효성 검사</t>
    <phoneticPr fontId="34" type="noConversion"/>
  </si>
  <si>
    <t>BidPrtcpAperWrtPage_Stp2</t>
  </si>
  <si>
    <t>스탭 2 - 품목내역</t>
    <phoneticPr fontId="34" type="noConversion"/>
  </si>
  <si>
    <t>BidPrtcpAperWrtPage_Stp3</t>
  </si>
  <si>
    <t>스탭 3 - 공종 및 면허</t>
    <phoneticPr fontId="34" type="noConversion"/>
  </si>
  <si>
    <t>BidPrtcpAperWrtPage_Stp4</t>
  </si>
  <si>
    <t>스탭 4 - 입찰보증금</t>
    <phoneticPr fontId="34" type="noConversion"/>
  </si>
  <si>
    <t>MUI-BD-04-P09</t>
    <phoneticPr fontId="34" type="noConversion"/>
  </si>
  <si>
    <t>ExmptnYnDtl</t>
  </si>
  <si>
    <t>면제여부상세</t>
    <phoneticPr fontId="42" type="noConversion"/>
  </si>
  <si>
    <t>BidPrtcpAperWrtPage_Stp5</t>
  </si>
  <si>
    <t>스탭 5 - 공동수급업체</t>
    <phoneticPr fontId="34" type="noConversion"/>
  </si>
  <si>
    <t>MUI-BD-04-P11</t>
    <phoneticPr fontId="34" type="noConversion"/>
  </si>
  <si>
    <t>RegBzentySrch</t>
  </si>
  <si>
    <t>등록업체검색</t>
    <phoneticPr fontId="34" type="noConversion"/>
  </si>
  <si>
    <t>MUI-BD-04-M12</t>
    <phoneticPr fontId="34" type="noConversion"/>
  </si>
  <si>
    <t>BidPrtcpAperWrtPage_Stp6</t>
  </si>
  <si>
    <t>스탭 6 - 파일첨부</t>
    <phoneticPr fontId="34" type="noConversion"/>
  </si>
  <si>
    <t>MUI-BD-04-P13</t>
    <phoneticPr fontId="34" type="noConversion"/>
  </si>
  <si>
    <t>CabinetLink</t>
  </si>
  <si>
    <t>BidPrtcpAperWrtPage_Stp7</t>
  </si>
  <si>
    <t>스탭 7 - 문의 및 동의</t>
    <phoneticPr fontId="34" type="noConversion"/>
  </si>
  <si>
    <t>MUI-BD-04-P15</t>
    <phoneticPr fontId="34" type="noConversion"/>
  </si>
  <si>
    <t>AgreementForm1</t>
  </si>
  <si>
    <t>동의서1</t>
    <phoneticPr fontId="34" type="noConversion"/>
  </si>
  <si>
    <t>AgreementForm2</t>
  </si>
  <si>
    <t>동의서2</t>
    <phoneticPr fontId="34" type="noConversion"/>
  </si>
  <si>
    <t>AgreementForm3</t>
  </si>
  <si>
    <t>동의서3</t>
    <phoneticPr fontId="34" type="noConversion"/>
  </si>
  <si>
    <t>AgreementForm4</t>
  </si>
  <si>
    <t>AgreementForm5</t>
  </si>
  <si>
    <t>AgreementForm6</t>
  </si>
  <si>
    <t>동의서6</t>
    <phoneticPr fontId="34" type="noConversion"/>
  </si>
  <si>
    <t>MUI-BD-04-M21</t>
    <phoneticPr fontId="34" type="noConversion"/>
  </si>
  <si>
    <t>Elsgn</t>
  </si>
  <si>
    <t>TndrWrt</t>
  </si>
  <si>
    <t>입찰서(견적서)작성</t>
    <phoneticPr fontId="42" type="noConversion"/>
  </si>
  <si>
    <t>중복 신청 유효성 검사</t>
    <phoneticPr fontId="34" type="noConversion"/>
  </si>
  <si>
    <t>MUI-BD-06-M01</t>
    <phoneticPr fontId="34" type="noConversion"/>
  </si>
  <si>
    <t>TndrWrt_Stp1</t>
  </si>
  <si>
    <t>TndrWrt_Stp2</t>
  </si>
  <si>
    <t>MUI-BD-06-M03</t>
    <phoneticPr fontId="34" type="noConversion"/>
  </si>
  <si>
    <t>TndrWrt_Stp3</t>
  </si>
  <si>
    <t>스탭 3 - 투찰내역</t>
    <phoneticPr fontId="34" type="noConversion"/>
  </si>
  <si>
    <t>TndrWrt_Stp4</t>
  </si>
  <si>
    <t>스탭 4 - 복수예비가격</t>
    <phoneticPr fontId="34" type="noConversion"/>
  </si>
  <si>
    <t>TndrWrt_Stp5</t>
  </si>
  <si>
    <t>스탭 5 - 파일첨부</t>
    <phoneticPr fontId="34" type="noConversion"/>
  </si>
  <si>
    <t>TndrWrt_Stp6</t>
  </si>
  <si>
    <t>스탭 6 - 동가낙찰 선추첨</t>
    <phoneticPr fontId="34" type="noConversion"/>
  </si>
  <si>
    <t>TndrWrt_Stp7</t>
  </si>
  <si>
    <t>스탭 7 - 약관동의</t>
    <phoneticPr fontId="34" type="noConversion"/>
  </si>
  <si>
    <t>투찰 금액 검증</t>
    <phoneticPr fontId="34" type="noConversion"/>
  </si>
  <si>
    <t>MUI-BD-06-M08</t>
    <phoneticPr fontId="34" type="noConversion"/>
  </si>
  <si>
    <t>OvsBidPrtcpAplyPage_AplyCmptn</t>
  </si>
  <si>
    <t>MUI-BD-08-M01</t>
    <phoneticPr fontId="34" type="noConversion"/>
  </si>
  <si>
    <t>개찰</t>
    <phoneticPr fontId="34" type="noConversion"/>
  </si>
  <si>
    <t>BdopnListPage</t>
  </si>
  <si>
    <t>개찰목록</t>
    <phoneticPr fontId="34" type="noConversion"/>
  </si>
  <si>
    <t>MUI-BD-09-M01</t>
    <phoneticPr fontId="34" type="noConversion"/>
  </si>
  <si>
    <r>
      <t>BidRsltDtl</t>
    </r>
    <r>
      <rPr>
        <sz val="8"/>
        <color rgb="FF000000"/>
        <rFont val="Calibri"/>
        <family val="2"/>
        <scheme val="minor"/>
      </rPr>
      <t>Page</t>
    </r>
  </si>
  <si>
    <r>
      <t>BidRsltDtlList</t>
    </r>
    <r>
      <rPr>
        <sz val="8"/>
        <color rgb="FF000000"/>
        <rFont val="Calibri"/>
        <family val="2"/>
      </rPr>
      <t>Page</t>
    </r>
  </si>
  <si>
    <t>품목정보</t>
    <phoneticPr fontId="34" type="noConversion"/>
  </si>
  <si>
    <t>MUI-BD-09-M03</t>
    <phoneticPr fontId="34" type="noConversion"/>
  </si>
  <si>
    <t>BidRsltDtl</t>
  </si>
  <si>
    <t>입찰결과</t>
    <phoneticPr fontId="34" type="noConversion"/>
  </si>
  <si>
    <t>BidRsltDtl2</t>
  </si>
  <si>
    <t>협상결과</t>
    <phoneticPr fontId="34" type="noConversion"/>
  </si>
  <si>
    <t>MUI-BD-10-M01</t>
    <phoneticPr fontId="34" type="noConversion"/>
  </si>
  <si>
    <t>적격심사</t>
    <phoneticPr fontId="34" type="noConversion"/>
  </si>
  <si>
    <t>Implt1</t>
  </si>
  <si>
    <t>이행/적격심사상세
1. 일반정보</t>
    <phoneticPr fontId="42" type="noConversion"/>
  </si>
  <si>
    <t>Implt2</t>
  </si>
  <si>
    <t>이행/적격심사상세
2. 입찰/반려 정보</t>
    <phoneticPr fontId="34" type="noConversion"/>
  </si>
  <si>
    <t>Implt3</t>
  </si>
  <si>
    <t>이행/적격심사상세
3. 파일첨부</t>
    <phoneticPr fontId="34" type="noConversion"/>
  </si>
  <si>
    <t>Implt</t>
  </si>
  <si>
    <t>이행/적격심사결과상세</t>
    <phoneticPr fontId="42" type="noConversion"/>
  </si>
  <si>
    <t>MUI-BD-10-M04</t>
    <phoneticPr fontId="34" type="noConversion"/>
  </si>
  <si>
    <t>Cmdty</t>
  </si>
  <si>
    <t>- 물품</t>
    <phoneticPr fontId="34" type="noConversion"/>
  </si>
  <si>
    <t>Lbsvc</t>
  </si>
  <si>
    <t>- 용역</t>
    <phoneticPr fontId="34" type="noConversion"/>
  </si>
  <si>
    <t>Y</t>
    <phoneticPr fontId="34" type="noConversion"/>
  </si>
  <si>
    <t>ItemsUnderKrw1B</t>
  </si>
  <si>
    <t>- 10억원미만물품(중기청)</t>
    <phoneticPr fontId="34" type="noConversion"/>
  </si>
  <si>
    <t>ManufacturingofItemsUnderKrw1B</t>
  </si>
  <si>
    <t>- 10억원미만물품제조</t>
    <phoneticPr fontId="34" type="noConversion"/>
  </si>
  <si>
    <t>- 10억원미만물품제조2015년</t>
    <phoneticPr fontId="34" type="noConversion"/>
  </si>
  <si>
    <t>PurchaseofItemsUnderKrw1B</t>
  </si>
  <si>
    <t>- 10억원미만물품구매</t>
    <phoneticPr fontId="34" type="noConversion"/>
  </si>
  <si>
    <t>- 10억원미만물품구매2015년</t>
    <phoneticPr fontId="34" type="noConversion"/>
  </si>
  <si>
    <t>- 10억원미만물품제조2018년</t>
    <phoneticPr fontId="34" type="noConversion"/>
  </si>
  <si>
    <t>PurchaseofItemsUnderkrw1B</t>
  </si>
  <si>
    <t>- 10억원미만물품구매2018년</t>
    <phoneticPr fontId="34" type="noConversion"/>
  </si>
  <si>
    <t>BelowThreshold</t>
  </si>
  <si>
    <t>- 고시금액미만(중기청)</t>
    <phoneticPr fontId="34" type="noConversion"/>
  </si>
  <si>
    <t>ThresholdKrw1B</t>
  </si>
  <si>
    <t>- 고시금액이상10억원미만(중기청)</t>
    <phoneticPr fontId="34" type="noConversion"/>
  </si>
  <si>
    <t>OverKrw1B</t>
  </si>
  <si>
    <t>- 10억원이상(중기청)</t>
    <phoneticPr fontId="34" type="noConversion"/>
  </si>
  <si>
    <t>Cstrn</t>
  </si>
  <si>
    <t xml:space="preserve"> </t>
    <phoneticPr fontId="34" type="noConversion"/>
  </si>
  <si>
    <t>- 공사</t>
    <phoneticPr fontId="34" type="noConversion"/>
  </si>
  <si>
    <t>국내</t>
    <phoneticPr fontId="34" type="noConversion"/>
  </si>
  <si>
    <t>TechLbsvc</t>
  </si>
  <si>
    <t>- 기술용역</t>
    <phoneticPr fontId="34" type="noConversion"/>
  </si>
  <si>
    <t>Krw300MCstrn</t>
  </si>
  <si>
    <t>- 3억원미만공사</t>
    <phoneticPr fontId="34" type="noConversion"/>
  </si>
  <si>
    <t>BelowThresholdLbsvc</t>
  </si>
  <si>
    <t>- 고시금액미만용역</t>
    <phoneticPr fontId="34" type="noConversion"/>
  </si>
  <si>
    <t>BelowThresholdDspLbsvc</t>
  </si>
  <si>
    <t>- 고시금액미만폐기물용역</t>
    <phoneticPr fontId="34" type="noConversion"/>
  </si>
  <si>
    <t>MUI-BD-10-P21</t>
    <phoneticPr fontId="34" type="noConversion"/>
  </si>
  <si>
    <t>ImpltElgbSrngAbndAply</t>
  </si>
  <si>
    <t>이행/적격심사포기신청</t>
    <phoneticPr fontId="42" type="noConversion"/>
  </si>
  <si>
    <t>MUI-BD-01-M71</t>
    <phoneticPr fontId="34" type="noConversion"/>
  </si>
  <si>
    <t>OvsBidPbancDtlPage</t>
  </si>
  <si>
    <t>OvsBidPbancDtl</t>
  </si>
  <si>
    <t>품목 목록</t>
    <phoneticPr fontId="34" type="noConversion"/>
  </si>
  <si>
    <t>OvsBidPbancDtl2</t>
  </si>
  <si>
    <t>첨부파일</t>
    <phoneticPr fontId="34" type="noConversion"/>
  </si>
  <si>
    <t>OvsExchrtListPage</t>
  </si>
  <si>
    <t>환율정보조회</t>
    <phoneticPr fontId="42" type="noConversion"/>
  </si>
  <si>
    <t>OvsGoalPrcRlsItemListPage</t>
  </si>
  <si>
    <t>목표가공개품목조회</t>
    <phoneticPr fontId="34" type="noConversion"/>
  </si>
  <si>
    <t>보관함 추가, 삭제</t>
    <phoneticPr fontId="34" type="noConversion"/>
  </si>
  <si>
    <t>입찰 결과</t>
    <phoneticPr fontId="34" type="noConversion"/>
  </si>
  <si>
    <t>OvsLockerPbanListPage</t>
  </si>
  <si>
    <t>OvsLockerPbanDtlPage</t>
  </si>
  <si>
    <t>OvsLockerItemRegPage</t>
  </si>
  <si>
    <t>OvsTmprBidCnRegPage</t>
  </si>
  <si>
    <t>BidDsctn</t>
  </si>
  <si>
    <t>BidDsctn2</t>
  </si>
  <si>
    <t>MUI-BD-01-M79</t>
    <phoneticPr fontId="34" type="noConversion"/>
  </si>
  <si>
    <t>OvsBfrTmprBidBidCnRegPage</t>
  </si>
  <si>
    <t>BfrPbancBidDsctnItemDtl</t>
  </si>
  <si>
    <t>ovsBidPrtcpAply</t>
    <phoneticPr fontId="34" type="noConversion"/>
  </si>
  <si>
    <t>MUI-BD-04-M71</t>
    <phoneticPr fontId="34" type="noConversion"/>
  </si>
  <si>
    <t>OvsBidPrtcpAplyPage</t>
  </si>
  <si>
    <t>MUI-BD-04-P03</t>
    <phoneticPr fontId="34" type="noConversion"/>
  </si>
  <si>
    <t>OvsProbWrotAgre</t>
  </si>
  <si>
    <t>MUI-BD-04-M72</t>
    <phoneticPr fontId="34" type="noConversion"/>
  </si>
  <si>
    <t>OvsBidPrtcpAplyPage_Stp1</t>
  </si>
  <si>
    <t>MUI-BD-04-M73</t>
    <phoneticPr fontId="34" type="noConversion"/>
  </si>
  <si>
    <t>OvsBidPrtcpAplyPage_Stp2</t>
  </si>
  <si>
    <t>스탭 2 - 업체정보</t>
    <phoneticPr fontId="34" type="noConversion"/>
  </si>
  <si>
    <t>스탭 3 - 입찰참여품목</t>
    <phoneticPr fontId="34" type="noConversion"/>
  </si>
  <si>
    <t>OvsBidPrtcpAplyPage_Stp3</t>
  </si>
  <si>
    <t>스탭 3 - 입찰 보증금</t>
    <phoneticPr fontId="34" type="noConversion"/>
  </si>
  <si>
    <t>MUI-BD-04-P75</t>
    <phoneticPr fontId="34" type="noConversion"/>
  </si>
  <si>
    <t>OvsBidWtgrInq</t>
  </si>
  <si>
    <t>입찰보증서선택</t>
    <phoneticPr fontId="34" type="noConversion"/>
  </si>
  <si>
    <t>OvsBidWtgrDtl</t>
  </si>
  <si>
    <t>보증서정보조회</t>
    <phoneticPr fontId="34" type="noConversion"/>
  </si>
  <si>
    <r>
      <t>OvsBidPrtcpAplyPage_</t>
    </r>
    <r>
      <rPr>
        <sz val="9"/>
        <color rgb="FF000000"/>
        <rFont val="Calibri"/>
        <family val="2"/>
      </rPr>
      <t>AtchDocReg</t>
    </r>
  </si>
  <si>
    <t>스탭 4 - 첨부파일</t>
    <phoneticPr fontId="34" type="noConversion"/>
  </si>
  <si>
    <t>국내/국외</t>
    <phoneticPr fontId="34" type="noConversion"/>
  </si>
  <si>
    <t>ovsBidPrtcpApfrDtl</t>
    <phoneticPr fontId="34" type="noConversion"/>
  </si>
  <si>
    <t>입찰참가신청서 상세</t>
    <phoneticPr fontId="42" type="noConversion"/>
  </si>
  <si>
    <t>MUI-BD-04-M78</t>
    <phoneticPr fontId="34" type="noConversion"/>
  </si>
  <si>
    <t>OvsBidPrtcpApfrDtlPage</t>
  </si>
  <si>
    <t>탭 1 - 일반정보</t>
    <phoneticPr fontId="34" type="noConversion"/>
  </si>
  <si>
    <t>OvsBidPrtcpApfrDtlPage_Tab2</t>
  </si>
  <si>
    <t>탭 2 - 업체정보</t>
    <phoneticPr fontId="34" type="noConversion"/>
  </si>
  <si>
    <t>OvsBidPrtcpApfrDtlPage_Tab3</t>
  </si>
  <si>
    <t>탭 3 - 입찰 보증금</t>
    <phoneticPr fontId="34" type="noConversion"/>
  </si>
  <si>
    <t>OvsBidPrtcpApfrDtlPage_Tab4</t>
  </si>
  <si>
    <t>탭 4 - 첨부파일</t>
    <phoneticPr fontId="34" type="noConversion"/>
  </si>
  <si>
    <t>MUI-BD-04-P82</t>
    <phoneticPr fontId="34" type="noConversion"/>
  </si>
  <si>
    <t>OvsBidPrtcpRtrcnAply</t>
  </si>
  <si>
    <t>입찰참가신청서취소</t>
    <phoneticPr fontId="34" type="noConversion"/>
  </si>
  <si>
    <t>MUI-BD-04-P83</t>
    <phoneticPr fontId="34" type="noConversion"/>
  </si>
  <si>
    <t>OvsBidRegRsltByBiz</t>
  </si>
  <si>
    <t>사업별입찰등록결과조회</t>
    <phoneticPr fontId="34" type="noConversion"/>
  </si>
  <si>
    <t>OvsTndrSbmsnPage</t>
  </si>
  <si>
    <t>입찰서제출</t>
    <phoneticPr fontId="34" type="noConversion"/>
  </si>
  <si>
    <t>MUI-BD-06-M71</t>
    <phoneticPr fontId="34" type="noConversion"/>
  </si>
  <si>
    <t>OvsTndrSbmsnPage_Stp2</t>
  </si>
  <si>
    <t>스탭 2 - 입찰참여품목 (단가제)</t>
    <phoneticPr fontId="34" type="noConversion"/>
  </si>
  <si>
    <t>스탭 2 - 입찰참여품목 (총액제)</t>
    <phoneticPr fontId="34" type="noConversion"/>
  </si>
  <si>
    <t>OvsTndrSbmsnPage_Stp3</t>
  </si>
  <si>
    <t>스탭 3 - 첨부파일</t>
    <phoneticPr fontId="34" type="noConversion"/>
  </si>
  <si>
    <t>OvsTndrDtlPage</t>
  </si>
  <si>
    <t>입찰서 상세</t>
    <phoneticPr fontId="34" type="noConversion"/>
  </si>
  <si>
    <t>MUI-BD-06-M75</t>
    <phoneticPr fontId="34" type="noConversion"/>
  </si>
  <si>
    <t>OvsTndrDtlPage_Tab2</t>
  </si>
  <si>
    <t>OvsTndrDtlPage_Tab3</t>
  </si>
  <si>
    <t>탭 3 - 입찰참여품목 (단가제)</t>
    <phoneticPr fontId="34" type="noConversion"/>
  </si>
  <si>
    <t>탭 3 - 입찰참여품목 (총액제)</t>
    <phoneticPr fontId="34" type="noConversion"/>
  </si>
  <si>
    <t>OvsTndrDtlPage_Tab4</t>
  </si>
  <si>
    <r>
      <rPr>
        <sz val="9"/>
        <color theme="1"/>
        <rFont val="Calibri"/>
        <family val="3"/>
        <charset val="129"/>
        <scheme val="minor"/>
      </rPr>
      <t>탭</t>
    </r>
    <r>
      <rPr>
        <sz val="9"/>
        <color theme="1"/>
        <rFont val="Calibri"/>
        <family val="2"/>
        <scheme val="minor"/>
      </rPr>
      <t xml:space="preserve"> 4 - </t>
    </r>
    <r>
      <rPr>
        <sz val="9"/>
        <color theme="1"/>
        <rFont val="Calibri"/>
        <family val="3"/>
        <charset val="129"/>
        <scheme val="minor"/>
      </rPr>
      <t>첨부파일</t>
    </r>
    <phoneticPr fontId="34" type="noConversion"/>
  </si>
  <si>
    <t>MUI-BD-06-M80</t>
    <phoneticPr fontId="34" type="noConversion"/>
  </si>
  <si>
    <t>OvsBidRegRslt</t>
  </si>
  <si>
    <t>입찰등록결과조회</t>
    <phoneticPr fontId="34" type="noConversion"/>
  </si>
  <si>
    <t>MUI-BD-06-P81</t>
    <phoneticPr fontId="34" type="noConversion"/>
  </si>
  <si>
    <t>OvsBidRtrcnAply</t>
  </si>
  <si>
    <t>입찰취소신청서작성</t>
    <phoneticPr fontId="34" type="noConversion"/>
  </si>
  <si>
    <t>MUI-BD-07-P71</t>
    <phoneticPr fontId="34" type="noConversion"/>
  </si>
  <si>
    <t>OvsTechEvlRslt</t>
  </si>
  <si>
    <t>기술평가결과조회</t>
    <phoneticPr fontId="34" type="noConversion"/>
  </si>
  <si>
    <t>OvsBidRsltDtlPage</t>
  </si>
  <si>
    <t>입찰결과조회</t>
    <phoneticPr fontId="42" type="noConversion"/>
  </si>
  <si>
    <t>MUI-BD-09-M71</t>
    <phoneticPr fontId="34" type="noConversion"/>
  </si>
  <si>
    <t>OvsBidRsltDtl2</t>
  </si>
  <si>
    <t>입찰결과 (단가제)</t>
    <phoneticPr fontId="34" type="noConversion"/>
  </si>
  <si>
    <t>OvsBidRsltDtl3</t>
  </si>
  <si>
    <t>입찰결과 (총액제)</t>
    <phoneticPr fontId="34" type="noConversion"/>
  </si>
  <si>
    <t>OvsRlsVltrnsNgtnPlanDtl</t>
  </si>
  <si>
    <t>공개수의협상계획상세</t>
    <phoneticPr fontId="42" type="noConversion"/>
  </si>
  <si>
    <t>MUI-BD-12-M71</t>
    <phoneticPr fontId="34" type="noConversion"/>
  </si>
  <si>
    <t>OvsRlsVltrnsNgtnPlanDtl2</t>
  </si>
  <si>
    <t>OvsRlsVltrnsNgtnPlanDtl3</t>
  </si>
  <si>
    <t>OvsRlsVltrnsNgtnEtdcSbmsnPage</t>
  </si>
  <si>
    <t>공개수의협상견적서제출</t>
    <phoneticPr fontId="34" type="noConversion"/>
  </si>
  <si>
    <t>MUI-BD-12-M74</t>
    <phoneticPr fontId="34" type="noConversion"/>
  </si>
  <si>
    <t>OvsRlsVltrnsNgtnEtdcSbmsn2</t>
  </si>
  <si>
    <t>OvsRlsVltrnsNgtnEtdcSbmsn3</t>
  </si>
  <si>
    <t>스탭 3 - 입찰품목</t>
    <phoneticPr fontId="34" type="noConversion"/>
  </si>
  <si>
    <t>PC 내역 확인 필요.</t>
    <phoneticPr fontId="34" type="noConversion"/>
  </si>
  <si>
    <t>OvsRlsVltrnsNgtnEtdcSbmsn4</t>
  </si>
  <si>
    <t>OvsRlsVltrnsNgtnEtdcDtlPage</t>
  </si>
  <si>
    <t>공개수의협상견적서상세</t>
    <phoneticPr fontId="34" type="noConversion"/>
  </si>
  <si>
    <t>MUI-BD-12-M78</t>
    <phoneticPr fontId="34" type="noConversion"/>
  </si>
  <si>
    <t>OvsRlsVltrnsNgtnEtdcDtl2</t>
  </si>
  <si>
    <t>업체정보</t>
    <phoneticPr fontId="34" type="noConversion"/>
  </si>
  <si>
    <t>OvsRlsVltrnsNgtnEtdcDtl3</t>
  </si>
  <si>
    <t>입찰품목</t>
    <phoneticPr fontId="34" type="noConversion"/>
  </si>
  <si>
    <t>OvsRlsVltrnsNgtnEtdcDtl4</t>
  </si>
  <si>
    <t>MUI-BD-12-P82</t>
    <phoneticPr fontId="34" type="noConversion"/>
  </si>
  <si>
    <t>OvsRlsVltrnsNgtnEtdcRtrcnApfrWrt</t>
  </si>
  <si>
    <t>공개수의협상견적서취소신청서작성</t>
    <phoneticPr fontId="34" type="noConversion"/>
  </si>
  <si>
    <t>MUI-BD-12-M83</t>
    <phoneticPr fontId="34" type="noConversion"/>
  </si>
  <si>
    <t>OvsRlsVltrnsNgtnSrngRsltInqPage</t>
  </si>
  <si>
    <t>공개수의협상결과조회</t>
    <phoneticPr fontId="34" type="noConversion"/>
  </si>
  <si>
    <t>MUI-CT-01-M01</t>
    <phoneticPr fontId="34" type="noConversion"/>
  </si>
  <si>
    <t>계약</t>
    <phoneticPr fontId="34" type="noConversion"/>
  </si>
  <si>
    <t>CtrtIntgListPage</t>
  </si>
  <si>
    <t>전자계약</t>
    <phoneticPr fontId="42" type="noConversion"/>
  </si>
  <si>
    <t>계약통합목록</t>
    <phoneticPr fontId="34" type="noConversion"/>
  </si>
  <si>
    <t>CtrtIntgList_SrchFilter</t>
  </si>
  <si>
    <t>MUI-CT-01-M02</t>
    <phoneticPr fontId="34" type="noConversion"/>
  </si>
  <si>
    <t>CmdtyElctrCtrtPrgrsDtlPage</t>
  </si>
  <si>
    <t>전자계약상세</t>
    <phoneticPr fontId="34" type="noConversion"/>
  </si>
  <si>
    <t>물품전자계약진행상세</t>
    <phoneticPr fontId="34" type="noConversion"/>
  </si>
  <si>
    <r>
      <t>CmdtyElctrCtrtPrgrsDtl</t>
    </r>
    <r>
      <rPr>
        <sz val="8"/>
        <color rgb="FF000000"/>
        <rFont val="+mn-lt"/>
        <family val="2"/>
      </rPr>
      <t>-Cn</t>
    </r>
  </si>
  <si>
    <t>- 상세내용</t>
    <phoneticPr fontId="34" type="noConversion"/>
  </si>
  <si>
    <t>CmdtyElctrCtrtPrgrsDtl-Artcl</t>
  </si>
  <si>
    <t>- 계약에 따른 세부항목 탭</t>
    <phoneticPr fontId="34" type="noConversion"/>
  </si>
  <si>
    <t>CmdtyElctrCtrtPrgrsDtl-SpclCnd</t>
  </si>
  <si>
    <t>- 계약특수조건</t>
    <phoneticPr fontId="34" type="noConversion"/>
  </si>
  <si>
    <t>CmdtyElctrCtrtPrgrsDtl-Adoc</t>
  </si>
  <si>
    <t>- 첨부서류</t>
    <phoneticPr fontId="34" type="noConversion"/>
  </si>
  <si>
    <t>CmdtyElctrCtrtCfmtnDtlPage</t>
  </si>
  <si>
    <t>물품전자계약확정상세</t>
    <phoneticPr fontId="34" type="noConversion"/>
  </si>
  <si>
    <t>MUI-CT-01-P04</t>
    <phoneticPr fontId="34" type="noConversion"/>
  </si>
  <si>
    <t>CtrtPrgrsSttsInq</t>
  </si>
  <si>
    <t>계약진행상태</t>
    <phoneticPr fontId="34" type="noConversion"/>
  </si>
  <si>
    <t>CmdtyGnrlCtrdocDtlPage</t>
  </si>
  <si>
    <t>물품일반계약서상세</t>
    <phoneticPr fontId="34" type="noConversion"/>
  </si>
  <si>
    <t>CmdtyMdfcnCtrdocDtlPage</t>
  </si>
  <si>
    <t>물품수정계약서상세</t>
    <phoneticPr fontId="34" type="noConversion"/>
  </si>
  <si>
    <t>CmdtyGramtCtrdocDtlPage</t>
  </si>
  <si>
    <t>물품총액계약서상세</t>
    <phoneticPr fontId="34" type="noConversion"/>
  </si>
  <si>
    <t>CmdtyUntprcCtrdocDtlPage</t>
  </si>
  <si>
    <t>물품단가계약서상세</t>
    <phoneticPr fontId="34" type="noConversion"/>
  </si>
  <si>
    <t>CstrnElctrCtrtPrgrsDtlPage</t>
  </si>
  <si>
    <t>공사전자계약진행상세</t>
    <phoneticPr fontId="34" type="noConversion"/>
  </si>
  <si>
    <t>CstrnCtrdocDtlPage</t>
  </si>
  <si>
    <t>공사계약서상세</t>
    <phoneticPr fontId="34" type="noConversion"/>
  </si>
  <si>
    <t>MUI-CT-01-P11</t>
    <phoneticPr fontId="34" type="noConversion"/>
  </si>
  <si>
    <t>CmdtyCtrtDtst</t>
  </si>
  <si>
    <t>물품계약명세서</t>
    <phoneticPr fontId="34" type="noConversion"/>
  </si>
  <si>
    <t>MUI-CT-01-P12</t>
    <phoneticPr fontId="34" type="noConversion"/>
  </si>
  <si>
    <t>CmdtyLastCtrdocDtst</t>
  </si>
  <si>
    <t>물품최종계약명세서</t>
    <phoneticPr fontId="34" type="noConversion"/>
  </si>
  <si>
    <t>MUI-CT-01-P13</t>
    <phoneticPr fontId="34" type="noConversion"/>
  </si>
  <si>
    <t>CmdtyMdfcnCtrdocDtst</t>
  </si>
  <si>
    <t>물품수정계약명세서</t>
    <phoneticPr fontId="34" type="noConversion"/>
  </si>
  <si>
    <t>MUI-CT-01-P14</t>
    <phoneticPr fontId="34" type="noConversion"/>
  </si>
  <si>
    <t>CmdtyGnrlCtrdocDtst</t>
  </si>
  <si>
    <t>물품일반계약명세서</t>
    <phoneticPr fontId="34" type="noConversion"/>
  </si>
  <si>
    <t>MUI-CT-01-M15</t>
    <phoneticPr fontId="34" type="noConversion"/>
  </si>
  <si>
    <t>국내추가 260522</t>
    <phoneticPr fontId="34" type="noConversion"/>
  </si>
  <si>
    <t>PymtDfryInfoListPage</t>
  </si>
  <si>
    <t>대금지불정보목록</t>
    <phoneticPr fontId="34" type="noConversion"/>
  </si>
  <si>
    <t>MUI-CT-01-P16</t>
    <phoneticPr fontId="34" type="noConversion"/>
  </si>
  <si>
    <t>PymtDfryInfoInq</t>
  </si>
  <si>
    <t>대금지불정보조회</t>
    <phoneticPr fontId="34" type="noConversion"/>
  </si>
  <si>
    <t>MUI-CT-03-M01</t>
    <phoneticPr fontId="34" type="noConversion"/>
  </si>
  <si>
    <t>CtrtCncltnRmvListPage</t>
  </si>
  <si>
    <t>CtrtCncltnRmvList_SrchFilter</t>
  </si>
  <si>
    <t>MUI-CT-03-M02</t>
    <phoneticPr fontId="34" type="noConversion"/>
  </si>
  <si>
    <t>CmdtyCtrtCncltnRmvDtlPage</t>
  </si>
  <si>
    <t>해지/해제 일반계약 상세</t>
    <phoneticPr fontId="42" type="noConversion"/>
  </si>
  <si>
    <t>CncltnRmvGnrlCtrtGramtDtlPage</t>
  </si>
  <si>
    <t>해지/해제 일반 총액제계약 상세</t>
    <phoneticPr fontId="42" type="noConversion"/>
  </si>
  <si>
    <t>CncltnRmvGnrlCtrtUntprcDtlPage</t>
  </si>
  <si>
    <t>해지/해제 일반 단가제계약 상세</t>
    <phoneticPr fontId="42" type="noConversion"/>
  </si>
  <si>
    <t>CncltnRmvMdfcnCtrtDtlPage</t>
  </si>
  <si>
    <t>해지/해제 수정 계약 상세</t>
    <phoneticPr fontId="42" type="noConversion"/>
  </si>
  <si>
    <t>MUI-CT-03-M06</t>
    <phoneticPr fontId="34" type="noConversion"/>
  </si>
  <si>
    <t>CstrnCtrtCncltnRmvDtlPage</t>
  </si>
  <si>
    <t>해지/해제 공사 계약 상세</t>
    <phoneticPr fontId="34" type="noConversion"/>
  </si>
  <si>
    <t>MUI-CT-01-M71</t>
    <phoneticPr fontId="34" type="noConversion"/>
  </si>
  <si>
    <t>OvsElctrCtrtPrgrsDtlTab</t>
  </si>
  <si>
    <t>국외전자계약상세</t>
    <phoneticPr fontId="34" type="noConversion"/>
  </si>
  <si>
    <t>일반현황</t>
    <phoneticPr fontId="34" type="noConversion"/>
  </si>
  <si>
    <t>MUI-CT-01-M72</t>
    <phoneticPr fontId="34" type="noConversion"/>
  </si>
  <si>
    <t>OvsBacntInfoTab</t>
  </si>
  <si>
    <t>계좌정보</t>
    <phoneticPr fontId="34" type="noConversion"/>
  </si>
  <si>
    <t>MUI-CT-01-M73</t>
    <phoneticPr fontId="34" type="noConversion"/>
  </si>
  <si>
    <t>OvsWtgrTab</t>
  </si>
  <si>
    <t>보증서</t>
    <phoneticPr fontId="34" type="noConversion"/>
  </si>
  <si>
    <t>OvsStmtxTab</t>
  </si>
  <si>
    <t>인지세</t>
    <phoneticPr fontId="34" type="noConversion"/>
  </si>
  <si>
    <t>OvsCtrtDtstTab</t>
  </si>
  <si>
    <t>계약명세서</t>
    <phoneticPr fontId="34" type="noConversion"/>
  </si>
  <si>
    <t>MUI-CT-01-M76</t>
    <phoneticPr fontId="34" type="noConversion"/>
  </si>
  <si>
    <t>OvsElctrCtrtPrgrsDtlTab-Adoc</t>
  </si>
  <si>
    <t>MUI-CT-01-M77</t>
    <phoneticPr fontId="34" type="noConversion"/>
  </si>
  <si>
    <t>OvsCmbzCtrdocDtlPage</t>
  </si>
  <si>
    <t>상업계약서 상세</t>
    <phoneticPr fontId="34" type="noConversion"/>
  </si>
  <si>
    <t>MUI-CT-01-P78</t>
    <phoneticPr fontId="34" type="noConversion"/>
  </si>
  <si>
    <t>OvsCmbzCtrtDtst</t>
  </si>
  <si>
    <t>상업계약서명세서</t>
    <phoneticPr fontId="34" type="noConversion"/>
  </si>
  <si>
    <t>MUI-EX-01-M01</t>
    <phoneticPr fontId="34" type="noConversion"/>
  </si>
  <si>
    <t>이행</t>
    <phoneticPr fontId="34" type="noConversion"/>
  </si>
  <si>
    <t>InspIntgListInqPage</t>
  </si>
  <si>
    <t>검사 및 납품조서</t>
    <phoneticPr fontId="42" type="noConversion"/>
  </si>
  <si>
    <t>계약번호조회</t>
    <phoneticPr fontId="42" type="noConversion"/>
  </si>
  <si>
    <t>InspIntgListInq_SrchFilter</t>
  </si>
  <si>
    <t>MUI-EX-01-M02</t>
    <phoneticPr fontId="34" type="noConversion"/>
  </si>
  <si>
    <t>InspDlvdocDtlPage</t>
  </si>
  <si>
    <t>검사및납품조서상세(중앙조달)</t>
    <phoneticPr fontId="34" type="noConversion"/>
  </si>
  <si>
    <t>InspDlvdocDtlSbsdPrcmPage</t>
  </si>
  <si>
    <t>검사및납품조서상세(부대조달)</t>
    <phoneticPr fontId="34" type="noConversion"/>
  </si>
  <si>
    <t>PxcndCmcnInspDtlPage</t>
  </si>
  <si>
    <t>InspDlvdocPrstPage</t>
  </si>
  <si>
    <t>검사 및 납품조서 현황 목록</t>
    <phoneticPr fontId="34" type="noConversion"/>
  </si>
  <si>
    <t>InspDlvdocPrst_SrchFilter</t>
  </si>
  <si>
    <t>MUI-EX-01-P06</t>
    <phoneticPr fontId="34" type="noConversion"/>
  </si>
  <si>
    <t>RecrdPblcnNoInfoInqPage</t>
  </si>
  <si>
    <t>조서발행번호정보조회</t>
    <phoneticPr fontId="34" type="noConversion"/>
  </si>
  <si>
    <t>MUI-EX-01-M07</t>
    <phoneticPr fontId="34" type="noConversion"/>
  </si>
  <si>
    <t>DlvdocRsltDtlpage</t>
  </si>
  <si>
    <t>검사 및 납품조서 상세</t>
    <phoneticPr fontId="34" type="noConversion"/>
  </si>
  <si>
    <t>MUI-EX-02-M71</t>
    <phoneticPr fontId="34" type="noConversion"/>
  </si>
  <si>
    <t>OvsEstmtRqdcListPage</t>
  </si>
  <si>
    <t>한도액계약</t>
    <phoneticPr fontId="34" type="noConversion"/>
  </si>
  <si>
    <t>견적의뢰서 목록</t>
    <phoneticPr fontId="34" type="noConversion"/>
  </si>
  <si>
    <t>OvsEstmtRqdcDtlPage</t>
  </si>
  <si>
    <t>견적의뢰서 상세</t>
    <phoneticPr fontId="34" type="noConversion"/>
  </si>
  <si>
    <t>OvsEstmtNtdcListPage</t>
  </si>
  <si>
    <t>견적통보서 목록</t>
    <phoneticPr fontId="34" type="noConversion"/>
  </si>
  <si>
    <t>OvsEstmtNtdcDtlPage</t>
  </si>
  <si>
    <t>견적통보서 상세</t>
    <phoneticPr fontId="34" type="noConversion"/>
  </si>
  <si>
    <t>OvsOrderRqdcListPage</t>
  </si>
  <si>
    <t>발주의뢰서 목록</t>
    <phoneticPr fontId="34" type="noConversion"/>
  </si>
  <si>
    <t>OvsOrderRqdcDtlPage</t>
  </si>
  <si>
    <t>발주의뢰서 상세</t>
    <phoneticPr fontId="34" type="noConversion"/>
  </si>
  <si>
    <t>OvsOrderNtdcListPage</t>
  </si>
  <si>
    <t>발주통보서 목록</t>
    <phoneticPr fontId="34" type="noConversion"/>
  </si>
  <si>
    <t>OvsOrderNtdcDtlPage</t>
  </si>
  <si>
    <t>발주통보서 상세</t>
    <phoneticPr fontId="34" type="noConversion"/>
  </si>
  <si>
    <t>MUI-EX-02-P79</t>
    <phoneticPr fontId="34" type="noConversion"/>
  </si>
  <si>
    <t>OvsCtrtNoInqPage</t>
  </si>
  <si>
    <t>MUI-WM-01-M01</t>
    <phoneticPr fontId="34" type="noConversion"/>
  </si>
  <si>
    <t>대금/사후</t>
    <phoneticPr fontId="34" type="noConversion"/>
  </si>
  <si>
    <t>PymtClmIntgListPage</t>
  </si>
  <si>
    <t>대금청구통합목록</t>
    <phoneticPr fontId="34" type="noConversion"/>
  </si>
  <si>
    <t>PymtClmIntgList_SrchFilter</t>
  </si>
  <si>
    <t>MUI-WM-01-M02</t>
    <phoneticPr fontId="34" type="noConversion"/>
  </si>
  <si>
    <t>PrpayApfrDtlPage</t>
  </si>
  <si>
    <t>선금신청서 상세</t>
    <phoneticPr fontId="42" type="noConversion"/>
  </si>
  <si>
    <t>MUI-WM-01-M03</t>
    <phoneticPr fontId="34" type="noConversion"/>
  </si>
  <si>
    <t>DpsmnItrpyApfrDtlPage</t>
  </si>
  <si>
    <t>착.중도금신청서 상세</t>
    <phoneticPr fontId="34" type="noConversion"/>
  </si>
  <si>
    <t>MUI-WM-01-P04</t>
    <phoneticPr fontId="34" type="noConversion"/>
  </si>
  <si>
    <t>PrpayDpsmnItrpyGiveSttsPage</t>
  </si>
  <si>
    <t>선금/착.중도금 지급 상태</t>
    <phoneticPr fontId="34" type="noConversion"/>
  </si>
  <si>
    <t>MUI-WM-01-M05</t>
    <phoneticPr fontId="34" type="noConversion"/>
  </si>
  <si>
    <t>CenterPrcmPymtClmDtlPage</t>
  </si>
  <si>
    <t>대금청구 상세(중앙조달)</t>
    <phoneticPr fontId="42" type="noConversion"/>
  </si>
  <si>
    <t>MUI-WM-01-M06</t>
    <phoneticPr fontId="34" type="noConversion"/>
  </si>
  <si>
    <t>SbsdPrcmPymtClmDtlPage</t>
  </si>
  <si>
    <t>대금청구 상세(부대조달)</t>
    <phoneticPr fontId="42" type="noConversion"/>
  </si>
  <si>
    <t>MUI-WM-01-M07</t>
    <phoneticPr fontId="34" type="noConversion"/>
  </si>
  <si>
    <t>CstrnPymtClmDtlPage</t>
  </si>
  <si>
    <t>대금청구 상세(공사)</t>
    <phoneticPr fontId="42" type="noConversion"/>
  </si>
  <si>
    <t>MUI-WM-01-M08</t>
    <phoneticPr fontId="34" type="noConversion"/>
  </si>
  <si>
    <t>PxcndCstPymtClmDtlPage</t>
  </si>
  <si>
    <t>대금청구 상세(기성대가)</t>
    <phoneticPr fontId="42" type="noConversion"/>
  </si>
  <si>
    <t>MUI-WM-01-P09</t>
    <phoneticPr fontId="34" type="noConversion"/>
  </si>
  <si>
    <t>PymtClmGdntc</t>
  </si>
  <si>
    <t>대금청구 안내문</t>
    <phoneticPr fontId="34" type="noConversion"/>
  </si>
  <si>
    <t>MUI-WM-01-M10</t>
    <phoneticPr fontId="34" type="noConversion"/>
  </si>
  <si>
    <t>RtnPymtDfryInfoPage</t>
  </si>
  <si>
    <t>대금지불정보(반납)</t>
    <phoneticPr fontId="34" type="noConversion"/>
  </si>
  <si>
    <t>PymtClmPrgrsPrstPage</t>
  </si>
  <si>
    <t>검색필터</t>
    <phoneticPr fontId="42" type="noConversion"/>
  </si>
  <si>
    <t>MUI-WM-01-M11</t>
    <phoneticPr fontId="34" type="noConversion"/>
  </si>
  <si>
    <t>대금청구진행현황</t>
    <phoneticPr fontId="34" type="noConversion"/>
  </si>
  <si>
    <t>PymtClmPrgrsPrst_SrchFilter</t>
    <phoneticPr fontId="34" type="noConversion"/>
  </si>
  <si>
    <t>업무지원</t>
    <phoneticPr fontId="34" type="noConversion"/>
  </si>
  <si>
    <t>MUI-TS-01-M01</t>
    <phoneticPr fontId="34" type="noConversion"/>
  </si>
  <si>
    <t>BfhdLoiListPage</t>
  </si>
  <si>
    <t>사전의향서</t>
    <phoneticPr fontId="42" type="noConversion"/>
  </si>
  <si>
    <t>사전의향서 목록</t>
    <phoneticPr fontId="42" type="noConversion"/>
  </si>
  <si>
    <t>추가 260526</t>
    <phoneticPr fontId="34" type="noConversion"/>
  </si>
  <si>
    <t>BfhdLoiList_SrchFilter</t>
  </si>
  <si>
    <t>MUI-TS-01-M02</t>
    <phoneticPr fontId="34" type="noConversion"/>
  </si>
  <si>
    <t>BfhdLoiDtlPage</t>
  </si>
  <si>
    <t>MUI-TS-01-P03</t>
    <phoneticPr fontId="34" type="noConversion"/>
  </si>
  <si>
    <t>BfhdLoiWrt</t>
  </si>
  <si>
    <t>의견작성</t>
    <phoneticPr fontId="34" type="noConversion"/>
  </si>
  <si>
    <t>MUI-TS-04-M01</t>
    <phoneticPr fontId="34" type="noConversion"/>
  </si>
  <si>
    <t>TxivList_CtrtListPage</t>
  </si>
  <si>
    <t>.</t>
    <phoneticPr fontId="34" type="noConversion"/>
  </si>
  <si>
    <t>세금계산서</t>
    <phoneticPr fontId="42" type="noConversion"/>
  </si>
  <si>
    <t>계약 목록</t>
    <phoneticPr fontId="34" type="noConversion"/>
  </si>
  <si>
    <t>TxivList_SrchFilter</t>
  </si>
  <si>
    <t>MUI-TS-04-P02</t>
    <phoneticPr fontId="34" type="noConversion"/>
  </si>
  <si>
    <t>국내</t>
    <phoneticPr fontId="34" type="noConversion"/>
  </si>
  <si>
    <t>TxivListPage</t>
  </si>
  <si>
    <t>세금계산서 목록</t>
    <phoneticPr fontId="34" type="noConversion"/>
  </si>
  <si>
    <t>TxivDtlPage</t>
  </si>
  <si>
    <t>MUI-TS-04-M04</t>
    <phoneticPr fontId="34" type="noConversion"/>
  </si>
  <si>
    <t>TxivPrgrsPrstPage</t>
  </si>
  <si>
    <t>세금계산서진행현황</t>
    <phoneticPr fontId="34" type="noConversion"/>
  </si>
  <si>
    <t>고객센터</t>
    <phoneticPr fontId="34" type="noConversion"/>
  </si>
  <si>
    <t>MUI-CM-04-M01</t>
    <phoneticPr fontId="34" type="noConversion"/>
  </si>
  <si>
    <t>NoticeListPage</t>
  </si>
  <si>
    <t>공지사항</t>
    <phoneticPr fontId="42" type="noConversion"/>
  </si>
  <si>
    <t>방위사업청 공지사항</t>
    <phoneticPr fontId="42" type="noConversion"/>
  </si>
  <si>
    <t>수요부대별 공지사항</t>
    <phoneticPr fontId="42" type="noConversion"/>
  </si>
  <si>
    <t>NoticeDtlPage</t>
  </si>
  <si>
    <t>공지별 상세</t>
    <phoneticPr fontId="34" type="noConversion"/>
  </si>
  <si>
    <t>rpstrList</t>
    <phoneticPr fontId="34" type="noConversion"/>
  </si>
  <si>
    <t>자료실</t>
    <phoneticPr fontId="34" type="noConversion"/>
  </si>
  <si>
    <t>일반자료실</t>
    <phoneticPr fontId="42" type="noConversion"/>
  </si>
  <si>
    <t>수요부대별자료실</t>
    <phoneticPr fontId="42" type="noConversion"/>
  </si>
  <si>
    <t>계약관련서식자료실</t>
    <phoneticPr fontId="42" type="noConversion"/>
  </si>
  <si>
    <t>시스템개선안내</t>
    <phoneticPr fontId="42" type="noConversion"/>
  </si>
  <si>
    <t>rpstrDtl</t>
    <phoneticPr fontId="34" type="noConversion"/>
  </si>
  <si>
    <t>자료실별 상세</t>
    <phoneticPr fontId="34" type="noConversion"/>
  </si>
  <si>
    <t>MUI-CM-04-M03</t>
    <phoneticPr fontId="34" type="noConversion"/>
  </si>
  <si>
    <t>FaqListPage</t>
  </si>
  <si>
    <t>자주묻는 질문</t>
    <phoneticPr fontId="34" type="noConversion"/>
  </si>
  <si>
    <t>faqDtl</t>
    <phoneticPr fontId="34" type="noConversion"/>
  </si>
  <si>
    <t>민원서류 발급신청</t>
    <phoneticPr fontId="34" type="noConversion"/>
  </si>
  <si>
    <t>MUI-CM-04-M05</t>
    <phoneticPr fontId="34" type="noConversion"/>
  </si>
  <si>
    <t>AplyStepInfoPage</t>
  </si>
  <si>
    <r>
      <rPr>
        <sz val="9"/>
        <color theme="1"/>
        <rFont val="Calibri"/>
        <family val="3"/>
        <charset val="129"/>
        <scheme val="minor"/>
      </rPr>
      <t>신청절차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안내</t>
    </r>
    <phoneticPr fontId="42" type="noConversion"/>
  </si>
  <si>
    <t>MUI-CM-04-M06</t>
    <phoneticPr fontId="34" type="noConversion"/>
  </si>
  <si>
    <t>PrfmncPrdocPage</t>
  </si>
  <si>
    <t>실적증명서</t>
    <phoneticPr fontId="42" type="noConversion"/>
  </si>
  <si>
    <t>MUI-CM-04-M07</t>
    <phoneticPr fontId="34" type="noConversion"/>
  </si>
  <si>
    <t>PrfmncPrdocDtlPage</t>
  </si>
  <si>
    <t>서류 출력</t>
    <phoneticPr fontId="34" type="noConversion"/>
  </si>
  <si>
    <t>추가0609</t>
    <phoneticPr fontId="34" type="noConversion"/>
  </si>
  <si>
    <t>MUI-CM-04-P20</t>
    <phoneticPr fontId="34" type="noConversion"/>
  </si>
  <si>
    <t>실적증명서제출</t>
    <phoneticPr fontId="34" type="noConversion"/>
  </si>
  <si>
    <t>온라인 제출</t>
    <phoneticPr fontId="34" type="noConversion"/>
  </si>
  <si>
    <t>MUI-CM-04-M08</t>
    <phoneticPr fontId="34" type="noConversion"/>
  </si>
  <si>
    <t>PrfmncPrdocRegPage</t>
  </si>
  <si>
    <t>신청</t>
    <phoneticPr fontId="34" type="noConversion"/>
  </si>
  <si>
    <t>PrfmncPrdoc_srchFilter</t>
    <phoneticPr fontId="34" type="noConversion"/>
  </si>
  <si>
    <t>MUI-CM-04-M09</t>
    <phoneticPr fontId="34" type="noConversion"/>
  </si>
  <si>
    <t>OvsSosCnfdocListPage</t>
  </si>
  <si>
    <t>국외 조달원 등록증</t>
    <phoneticPr fontId="42" type="noConversion"/>
  </si>
  <si>
    <t>삭제0608</t>
    <phoneticPr fontId="34" type="noConversion"/>
  </si>
  <si>
    <t>MUI-CM-04-P10</t>
    <phoneticPr fontId="34" type="noConversion"/>
  </si>
  <si>
    <t>OvsSosCnfdocReg</t>
  </si>
  <si>
    <t>MUI-CM-04-P11</t>
    <phoneticPr fontId="34" type="noConversion"/>
  </si>
  <si>
    <t>추가 260604</t>
    <phoneticPr fontId="34" type="noConversion"/>
  </si>
  <si>
    <t>OvsSosCnfdocChc</t>
  </si>
  <si>
    <t>조달업체 선택</t>
    <phoneticPr fontId="34" type="noConversion"/>
  </si>
  <si>
    <t>MUI-CM-04-M12</t>
    <phoneticPr fontId="34" type="noConversion"/>
  </si>
  <si>
    <t>SttInfoListPage</t>
  </si>
  <si>
    <t>법령조회</t>
    <phoneticPr fontId="42" type="noConversion"/>
  </si>
  <si>
    <t>즐겨찾기 기능</t>
    <phoneticPr fontId="34" type="noConversion"/>
  </si>
  <si>
    <t>외부 링크</t>
    <phoneticPr fontId="34" type="noConversion"/>
  </si>
  <si>
    <t>MUI-CM-04-M13</t>
    <phoneticPr fontId="34" type="noConversion"/>
  </si>
  <si>
    <t>인증센터</t>
    <phoneticPr fontId="34" type="noConversion"/>
  </si>
  <si>
    <t>CertMngPage</t>
  </si>
  <si>
    <t>MUI-CM-04-M14</t>
    <phoneticPr fontId="34" type="noConversion"/>
  </si>
  <si>
    <t>CrtfMngPage</t>
  </si>
  <si>
    <t>인증서 관리</t>
    <phoneticPr fontId="34" type="noConversion"/>
  </si>
  <si>
    <t>MUI-CM-04-P15</t>
    <phoneticPr fontId="34" type="noConversion"/>
  </si>
  <si>
    <t>CrtfDelPage</t>
  </si>
  <si>
    <t>인증서 삭제</t>
    <phoneticPr fontId="34" type="noConversion"/>
  </si>
  <si>
    <t>MUI-CM-04-M16</t>
    <phoneticPr fontId="34" type="noConversion"/>
  </si>
  <si>
    <t>CrtfReceivePage</t>
  </si>
  <si>
    <t>인증서 가져오기</t>
    <phoneticPr fontId="34" type="noConversion"/>
  </si>
  <si>
    <t>MUI-CM-04-M17</t>
    <phoneticPr fontId="34" type="noConversion"/>
  </si>
  <si>
    <t>CrtfSendPage</t>
  </si>
  <si>
    <t>인증서 내보내기</t>
    <phoneticPr fontId="34" type="noConversion"/>
  </si>
  <si>
    <t>MUI-CM-04-P18</t>
    <phoneticPr fontId="34" type="noConversion"/>
  </si>
  <si>
    <t>CrtfPswd</t>
  </si>
  <si>
    <t>인증서 비밀번호 확인</t>
    <phoneticPr fontId="34" type="noConversion"/>
  </si>
  <si>
    <t>MUI-CM-04-P19</t>
    <phoneticPr fontId="34" type="noConversion"/>
  </si>
  <si>
    <t>인증 성공, 실패 안내</t>
    <phoneticPr fontId="34" type="noConversion"/>
  </si>
  <si>
    <t>등록</t>
    <phoneticPr fontId="34" type="noConversion"/>
  </si>
  <si>
    <r>
      <rPr>
        <sz val="9"/>
        <color theme="1"/>
        <rFont val="Calibri"/>
        <family val="3"/>
        <charset val="129"/>
        <scheme val="minor"/>
      </rPr>
      <t>국방전자조달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소개</t>
    </r>
    <phoneticPr fontId="34" type="noConversion"/>
  </si>
  <si>
    <t>MUI-CM-05-M01</t>
    <phoneticPr fontId="34" type="noConversion"/>
  </si>
  <si>
    <t>IntroducePage</t>
  </si>
  <si>
    <t>시스템소개</t>
    <phoneticPr fontId="42" type="noConversion"/>
  </si>
  <si>
    <t>FeaturePage</t>
  </si>
  <si>
    <t>주요특징</t>
    <phoneticPr fontId="42" type="noConversion"/>
  </si>
  <si>
    <t>HistoryPage</t>
  </si>
  <si>
    <t>연혁</t>
    <phoneticPr fontId="42" type="noConversion"/>
  </si>
  <si>
    <t>GraphicPage</t>
  </si>
  <si>
    <t>인포그래픽스</t>
    <phoneticPr fontId="42" type="noConversion"/>
  </si>
  <si>
    <t>Z</t>
    <phoneticPr fontId="34" type="noConversion"/>
  </si>
  <si>
    <t>SystemPage</t>
  </si>
  <si>
    <t>관련시스템</t>
    <phoneticPr fontId="42" type="noConversion"/>
  </si>
  <si>
    <t>InquiryPage</t>
  </si>
  <si>
    <t>이용문의</t>
    <phoneticPr fontId="42" type="noConversion"/>
  </si>
  <si>
    <t>이용안내</t>
    <phoneticPr fontId="34" type="noConversion"/>
  </si>
  <si>
    <t>MUI-CM-05-M07</t>
    <phoneticPr fontId="34" type="noConversion"/>
  </si>
  <si>
    <t>Preparation01Page</t>
  </si>
  <si>
    <t>조달사전준비안내</t>
    <phoneticPr fontId="42" type="noConversion"/>
  </si>
  <si>
    <t>preparation02Page</t>
  </si>
  <si>
    <t>청렴계약제</t>
    <phoneticPr fontId="34" type="noConversion"/>
  </si>
  <si>
    <t>Domestic01Page</t>
  </si>
  <si>
    <t>국내조달안내</t>
    <phoneticPr fontId="42" type="noConversion"/>
  </si>
  <si>
    <t>Domestic02Page</t>
  </si>
  <si>
    <t>Domestic03Page</t>
  </si>
  <si>
    <t>Foreign01Page</t>
  </si>
  <si>
    <t>국외조달안내</t>
    <phoneticPr fontId="42" type="noConversion"/>
  </si>
  <si>
    <t>국외조달원 등록절차</t>
    <phoneticPr fontId="34" type="noConversion"/>
  </si>
  <si>
    <t>Foreign02Page</t>
  </si>
  <si>
    <t>국외조달원 등록/변경안내</t>
    <phoneticPr fontId="34" type="noConversion"/>
  </si>
  <si>
    <t>Foreign03Page</t>
  </si>
  <si>
    <t>MUI-CM-05-M15</t>
    <phoneticPr fontId="34" type="noConversion"/>
  </si>
  <si>
    <t>SitePage</t>
  </si>
  <si>
    <t>관련사이트</t>
    <phoneticPr fontId="42" type="noConversion"/>
  </si>
  <si>
    <t>용어사전</t>
    <phoneticPr fontId="42" type="noConversion"/>
  </si>
  <si>
    <t>MUI-MS-01-P06</t>
    <phoneticPr fontId="34" type="noConversion"/>
  </si>
  <si>
    <t>AppSrvcExpln</t>
  </si>
  <si>
    <r>
      <rPr>
        <sz val="9"/>
        <color theme="1"/>
        <rFont val="Calibri"/>
        <family val="3"/>
        <charset val="129"/>
        <scheme val="minor"/>
      </rPr>
      <t>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3"/>
        <charset val="129"/>
        <scheme val="minor"/>
      </rPr>
      <t>안내</t>
    </r>
    <phoneticPr fontId="34" type="noConversion"/>
  </si>
  <si>
    <t>MUI-MS-02-M01</t>
    <phoneticPr fontId="34" type="noConversion"/>
  </si>
  <si>
    <t>설정</t>
    <phoneticPr fontId="34" type="noConversion"/>
  </si>
  <si>
    <t>AppStng</t>
  </si>
  <si>
    <t>앱 푸시 알림</t>
    <phoneticPr fontId="42" type="noConversion"/>
  </si>
  <si>
    <t>AppAuthrt</t>
    <phoneticPr fontId="34" type="noConversion"/>
  </si>
  <si>
    <t>앱 권한 내역</t>
    <phoneticPr fontId="34" type="noConversion"/>
  </si>
  <si>
    <t>앱 권한 관리</t>
    <phoneticPr fontId="34" type="noConversion"/>
  </si>
  <si>
    <t>앱 시스템 권한 링크</t>
    <phoneticPr fontId="34" type="noConversion"/>
  </si>
  <si>
    <t>MUI-MS-02-P02</t>
    <phoneticPr fontId="34" type="noConversion"/>
  </si>
  <si>
    <t>AppCashDel</t>
  </si>
  <si>
    <t>앱 캐시 삭제</t>
    <phoneticPr fontId="34" type="noConversion"/>
  </si>
  <si>
    <t>앱 버전 정보</t>
    <phoneticPr fontId="34" type="noConversion"/>
  </si>
  <si>
    <t>이용약관</t>
    <phoneticPr fontId="34" type="noConversion"/>
  </si>
  <si>
    <t>TermPrivacy</t>
    <phoneticPr fontId="34" type="noConversion"/>
  </si>
  <si>
    <t>약관</t>
    <phoneticPr fontId="34" type="noConversion"/>
  </si>
  <si>
    <t>개인정보처리방침</t>
    <phoneticPr fontId="34" type="noConversion"/>
  </si>
  <si>
    <t>TermCopyright</t>
    <phoneticPr fontId="34" type="noConversion"/>
  </si>
  <si>
    <t>저작권 정책</t>
    <phoneticPr fontId="34" type="noConversion"/>
  </si>
  <si>
    <t>MUI-MS-02-P03</t>
    <phoneticPr fontId="34" type="noConversion"/>
  </si>
  <si>
    <t>모바일웹</t>
    <phoneticPr fontId="34" type="noConversion"/>
  </si>
  <si>
    <t>앱 연계</t>
    <phoneticPr fontId="34" type="noConversion"/>
  </si>
  <si>
    <t>AppSrvc</t>
  </si>
  <si>
    <t>모바일앱서비스 안내</t>
    <phoneticPr fontId="34" type="noConversion"/>
  </si>
  <si>
    <t>모바일 웹 로그인 서비스 접근 시 표시</t>
    <phoneticPr fontId="34" type="noConversion"/>
  </si>
  <si>
    <t>Yes 체크값</t>
    <phoneticPr fontId="34" type="noConversion"/>
  </si>
  <si>
    <t>No 체크값</t>
    <phoneticPr fontId="34" type="noConversion"/>
  </si>
  <si>
    <t>Page</t>
    <phoneticPr fontId="34" type="noConversion"/>
  </si>
  <si>
    <t>Popup</t>
    <phoneticPr fontId="34" type="noConversion"/>
  </si>
  <si>
    <t>Popup</t>
    <phoneticPr fontId="34" type="noConversion"/>
  </si>
  <si>
    <t>Page</t>
    <phoneticPr fontId="34" type="noConversion"/>
  </si>
  <si>
    <t>Page</t>
    <phoneticPr fontId="34" type="noConversion"/>
  </si>
  <si>
    <t>Popup</t>
    <phoneticPr fontId="34" type="noConversion"/>
  </si>
  <si>
    <t>Page</t>
    <phoneticPr fontId="34" type="noConversion"/>
  </si>
  <si>
    <t>Popup</t>
    <phoneticPr fontId="34" type="noConversion"/>
  </si>
  <si>
    <t>Page</t>
    <phoneticPr fontId="34" type="noConversion"/>
  </si>
  <si>
    <t>Page</t>
    <phoneticPr fontId="34" type="noConversion"/>
  </si>
  <si>
    <t>Popup</t>
    <phoneticPr fontId="34" type="noConversion"/>
  </si>
  <si>
    <t>Popup</t>
    <phoneticPr fontId="34" type="noConversion"/>
  </si>
  <si>
    <t>popup</t>
    <phoneticPr fontId="34" type="noConversion"/>
  </si>
  <si>
    <t>popup</t>
    <phoneticPr fontId="34" type="noConversion"/>
  </si>
  <si>
    <t>사이트 저작권 정책</t>
    <phoneticPr fontId="34" type="noConversion"/>
  </si>
  <si>
    <t>모바일 웹에서 로그인 서비스 등을 사용하려할 때, 앱 실행 안내 팝업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</si>
</sst>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55">
    <font>
      <sz val="11"/>
      <color theme="1"/>
      <name val="Calibri"/>
      <scheme val="minor"/>
    </font>
    <font>
      <b/>
      <sz val="9"/>
      <color rgb="FF000000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sz val="11"/>
      <color theme="1"/>
      <name val="Calibri"/>
      <family val="2"/>
      <scheme val="minor"/>
    </font>
    <font>
      <sz val="9"/>
      <color theme="1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&quot;맑은 고딕&quot;, monospace"/>
      <family val="3"/>
      <charset val="129"/>
    </font>
    <font>
      <b/>
      <sz val="9"/>
      <color rgb="FF980000"/>
      <name val="&quot;맑은 고딕&quot;, monospace"/>
      <family val="3"/>
      <charset val="129"/>
    </font>
    <font>
      <b/>
      <sz val="9"/>
      <color rgb="FF000000"/>
      <name val="&quot;맑은 고딕&quot;, monospace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sz val="9"/>
      <name val="Calibri"/>
      <family val="2"/>
      <scheme val="minor"/>
    </font>
    <font>
      <sz val="9"/>
      <color rgb="FFFF0000"/>
      <name val="Calibri"/>
      <family val="3"/>
      <charset val="129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color rgb="FF000000"/>
      <name val="Arial"/>
      <family val="2"/>
    </font>
    <font>
      <sz val="9"/>
      <color theme="0" tint="-0.499984740745262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  <font>
      <sz val="9"/>
      <color rgb="FF0000FF"/>
      <name val="&quot;맑은 고딕&quot;"/>
      <family val="3"/>
      <charset val="129"/>
    </font>
    <font>
      <sz val="8"/>
      <color rgb="FF000000"/>
      <name val="맑은 고딕"/>
      <family val="3"/>
      <charset val="129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+mn-lt"/>
      <family val="2"/>
    </font>
  </fonts>
  <fills count="22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E6B8AF"/>
      </patternFill>
    </fill>
    <fill>
      <patternFill patternType="solid">
        <fgColor rgb="FFFFFF00"/>
        <bgColor rgb="FFC6E0B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0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6" fillId="0" borderId="6" xfId="0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4" fillId="10" borderId="1" xfId="0" applyFont="1" applyFill="1" applyBorder="1" applyAlignment="1">
      <alignment horizontal="center" vertical="center" wrapText="1"/>
    </xf>
    <xf numFmtId="176" fontId="14" fillId="10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8" fillId="11" borderId="1" xfId="0" quotePrefix="1" applyFont="1" applyFill="1" applyBorder="1" applyAlignment="1">
      <alignment vertical="center" wrapText="1"/>
    </xf>
    <xf numFmtId="0" fontId="18" fillId="11" borderId="1" xfId="0" applyFont="1" applyFill="1" applyBorder="1" applyAlignment="1">
      <alignment horizontal="center" vertical="top" wrapText="1"/>
    </xf>
    <xf numFmtId="0" fontId="18" fillId="11" borderId="1" xfId="0" applyFont="1" applyFill="1" applyBorder="1" applyAlignment="1">
      <alignment vertical="top" wrapText="1"/>
    </xf>
    <xf numFmtId="176" fontId="18" fillId="0" borderId="1" xfId="0" applyNumberFormat="1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0" fontId="18" fillId="11" borderId="1" xfId="0" applyFont="1" applyFill="1" applyBorder="1" applyAlignment="1">
      <alignment horizontal="left" vertical="top" wrapText="1"/>
    </xf>
    <xf numFmtId="176" fontId="18" fillId="0" borderId="1" xfId="0" quotePrefix="1" applyNumberFormat="1" applyFont="1" applyBorder="1" applyAlignment="1">
      <alignment horizontal="center" vertical="top" wrapText="1"/>
    </xf>
    <xf numFmtId="0" fontId="19" fillId="11" borderId="1" xfId="0" quotePrefix="1" applyFont="1" applyFill="1" applyBorder="1" applyAlignment="1">
      <alignment horizontal="center" vertical="center" wrapText="1"/>
    </xf>
    <xf numFmtId="0" fontId="18" fillId="11" borderId="1" xfId="0" quotePrefix="1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176" fontId="14" fillId="10" borderId="22" xfId="0" applyNumberFormat="1" applyFont="1" applyFill="1" applyBorder="1" applyAlignment="1">
      <alignment horizontal="center" vertical="center" wrapText="1"/>
    </xf>
    <xf numFmtId="176" fontId="14" fillId="10" borderId="20" xfId="0" applyNumberFormat="1" applyFont="1" applyFill="1" applyBorder="1" applyAlignment="1">
      <alignment horizontal="center" vertical="center" wrapText="1"/>
    </xf>
    <xf numFmtId="49" fontId="18" fillId="11" borderId="1" xfId="0" applyNumberFormat="1" applyFont="1" applyFill="1" applyBorder="1" applyAlignment="1">
      <alignment horizontal="center" vertical="center" wrapText="1"/>
    </xf>
    <xf numFmtId="0" fontId="18" fillId="11" borderId="23" xfId="0" applyFont="1" applyFill="1" applyBorder="1" applyAlignment="1">
      <alignment horizontal="left" vertical="center" wrapText="1"/>
    </xf>
    <xf numFmtId="0" fontId="18" fillId="11" borderId="24" xfId="0" applyFont="1" applyFill="1" applyBorder="1" applyAlignment="1">
      <alignment horizontal="left" vertical="center" wrapText="1"/>
    </xf>
    <xf numFmtId="0" fontId="18" fillId="11" borderId="25" xfId="0" quotePrefix="1" applyFont="1" applyFill="1" applyBorder="1" applyAlignment="1">
      <alignment horizontal="left" vertical="center" wrapText="1"/>
    </xf>
    <xf numFmtId="0" fontId="18" fillId="11" borderId="21" xfId="0" applyFont="1" applyFill="1" applyBorder="1" applyAlignment="1">
      <alignment vertical="center" wrapText="1"/>
    </xf>
    <xf numFmtId="0" fontId="18" fillId="11" borderId="24" xfId="0" applyFont="1" applyFill="1" applyBorder="1" applyAlignment="1">
      <alignment vertical="center" wrapText="1"/>
    </xf>
    <xf numFmtId="0" fontId="18" fillId="11" borderId="19" xfId="0" quotePrefix="1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vertical="center" wrapText="1"/>
    </xf>
    <xf numFmtId="176" fontId="18" fillId="11" borderId="26" xfId="0" quotePrefix="1" applyNumberFormat="1" applyFont="1" applyFill="1" applyBorder="1" applyAlignment="1">
      <alignment horizontal="left"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19" xfId="0" applyFont="1" applyFill="1" applyBorder="1" applyAlignment="1">
      <alignment horizontal="left" vertical="center" wrapText="1"/>
    </xf>
    <xf numFmtId="0" fontId="18" fillId="11" borderId="16" xfId="0" applyFont="1" applyFill="1" applyBorder="1" applyAlignment="1">
      <alignment vertical="top" wrapText="1"/>
    </xf>
    <xf numFmtId="0" fontId="18" fillId="11" borderId="23" xfId="0" applyFont="1" applyFill="1" applyBorder="1" applyAlignment="1">
      <alignment vertical="top" wrapText="1"/>
    </xf>
    <xf numFmtId="0" fontId="18" fillId="11" borderId="20" xfId="0" quotePrefix="1" applyFont="1" applyFill="1" applyBorder="1" applyAlignment="1">
      <alignment vertical="top" wrapText="1"/>
    </xf>
    <xf numFmtId="0" fontId="18" fillId="11" borderId="22" xfId="0" applyFont="1" applyFill="1" applyBorder="1" applyAlignment="1">
      <alignment horizontal="center" vertical="center" wrapText="1"/>
    </xf>
    <xf numFmtId="176" fontId="18" fillId="11" borderId="22" xfId="0" applyNumberFormat="1" applyFont="1" applyFill="1" applyBorder="1" applyAlignment="1">
      <alignment horizontal="center" vertical="center" wrapText="1"/>
    </xf>
    <xf numFmtId="0" fontId="18" fillId="11" borderId="20" xfId="0" applyFont="1" applyFill="1" applyBorder="1" applyAlignment="1">
      <alignment horizontal="left" vertical="center" wrapText="1"/>
    </xf>
    <xf numFmtId="176" fontId="18" fillId="11" borderId="26" xfId="0" applyNumberFormat="1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 wrapText="1"/>
    </xf>
    <xf numFmtId="0" fontId="35" fillId="12" borderId="27" xfId="0" applyFont="1" applyFill="1" applyBorder="1" applyAlignment="1">
      <alignment horizontal="center"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27" xfId="0" applyFont="1" applyBorder="1" applyAlignment="1">
      <alignment vertical="center" wrapText="1"/>
    </xf>
    <xf numFmtId="0" fontId="35" fillId="13" borderId="27" xfId="0" applyFont="1" applyFill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/>
    </xf>
    <xf numFmtId="0" fontId="0" fillId="0" borderId="0" xfId="0"/>
    <xf numFmtId="0" fontId="39" fillId="15" borderId="27" xfId="0" applyFont="1" applyFill="1" applyBorder="1" applyAlignment="1">
      <alignment horizontal="center" vertical="center" wrapText="1"/>
    </xf>
    <xf numFmtId="0" fontId="4" fillId="15" borderId="0" xfId="0" applyFont="1" applyFill="1" applyAlignment="1"/>
    <xf numFmtId="0" fontId="0" fillId="15" borderId="0" xfId="0" applyFont="1" applyFill="1" applyAlignment="1"/>
    <xf numFmtId="0" fontId="35" fillId="17" borderId="27" xfId="0" applyFont="1" applyFill="1" applyBorder="1" applyAlignment="1">
      <alignment horizontal="center" vertical="center" wrapText="1"/>
    </xf>
    <xf numFmtId="0" fontId="35" fillId="17" borderId="27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horizontal="center" vertical="center" wrapText="1"/>
    </xf>
    <xf numFmtId="0" fontId="40" fillId="0" borderId="27" xfId="0" applyFont="1" applyBorder="1" applyAlignment="1">
      <alignment vertical="center" wrapText="1"/>
    </xf>
    <xf numFmtId="0" fontId="35" fillId="14" borderId="27" xfId="0" applyFont="1" applyFill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35" fillId="0" borderId="27" xfId="0" quotePrefix="1" applyFont="1" applyFill="1" applyBorder="1" applyAlignment="1">
      <alignment vertical="center" wrapText="1"/>
    </xf>
    <xf numFmtId="0" fontId="44" fillId="0" borderId="27" xfId="0" applyFont="1" applyFill="1" applyBorder="1" applyAlignment="1">
      <alignment vertical="center" wrapText="1"/>
    </xf>
    <xf numFmtId="0" fontId="40" fillId="12" borderId="27" xfId="0" applyFont="1" applyFill="1" applyBorder="1" applyAlignment="1">
      <alignment vertical="center" wrapText="1"/>
    </xf>
    <xf numFmtId="0" fontId="39" fillId="12" borderId="27" xfId="0" applyFont="1" applyFill="1" applyBorder="1" applyAlignment="1">
      <alignment vertical="center" wrapText="1"/>
    </xf>
    <xf numFmtId="0" fontId="35" fillId="18" borderId="27" xfId="0" applyFont="1" applyFill="1" applyBorder="1" applyAlignment="1">
      <alignment horizontal="center" vertical="center" wrapText="1"/>
    </xf>
    <xf numFmtId="0" fontId="45" fillId="13" borderId="27" xfId="0" applyFont="1" applyFill="1" applyBorder="1" applyAlignment="1">
      <alignment vertical="center" wrapText="1"/>
    </xf>
    <xf numFmtId="0" fontId="46" fillId="13" borderId="27" xfId="0" applyFont="1" applyFill="1" applyBorder="1" applyAlignment="1">
      <alignment horizontal="center" vertical="center" wrapText="1"/>
    </xf>
    <xf numFmtId="0" fontId="45" fillId="12" borderId="27" xfId="0" applyFont="1" applyFill="1" applyBorder="1" applyAlignment="1">
      <alignment vertical="center" wrapText="1"/>
    </xf>
    <xf numFmtId="0" fontId="47" fillId="12" borderId="27" xfId="0" applyFont="1" applyFill="1" applyBorder="1" applyAlignment="1">
      <alignment horizontal="center" vertical="center" wrapText="1"/>
    </xf>
    <xf numFmtId="0" fontId="47" fillId="17" borderId="27" xfId="0" applyFont="1" applyFill="1" applyBorder="1" applyAlignment="1">
      <alignment horizontal="center" vertical="center" wrapText="1"/>
    </xf>
    <xf numFmtId="0" fontId="4" fillId="19" borderId="0" xfId="0" applyFont="1" applyFill="1" applyAlignment="1"/>
    <xf numFmtId="0" fontId="0" fillId="17" borderId="0" xfId="0" applyFont="1" applyFill="1" applyAlignment="1"/>
    <xf numFmtId="0" fontId="1" fillId="2" borderId="27" xfId="0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top"/>
    </xf>
    <xf numFmtId="0" fontId="2" fillId="2" borderId="27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left" vertical="top"/>
    </xf>
    <xf numFmtId="0" fontId="3" fillId="0" borderId="27" xfId="0" applyFont="1" applyBorder="1" applyAlignment="1"/>
    <xf numFmtId="0" fontId="3" fillId="0" borderId="27" xfId="0" applyFont="1" applyBorder="1"/>
    <xf numFmtId="49" fontId="3" fillId="0" borderId="27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top"/>
    </xf>
    <xf numFmtId="0" fontId="2" fillId="0" borderId="27" xfId="0" applyFont="1" applyBorder="1" applyAlignment="1"/>
    <xf numFmtId="0" fontId="4" fillId="0" borderId="27" xfId="0" applyFont="1" applyBorder="1" applyAlignment="1"/>
    <xf numFmtId="0" fontId="3" fillId="4" borderId="27" xfId="0" applyFont="1" applyFill="1" applyBorder="1" applyAlignment="1">
      <alignment horizontal="center" vertical="center"/>
    </xf>
    <xf numFmtId="176" fontId="3" fillId="4" borderId="27" xfId="0" applyNumberFormat="1" applyFont="1" applyFill="1" applyBorder="1" applyAlignment="1">
      <alignment horizontal="center" vertical="center"/>
    </xf>
    <xf numFmtId="49" fontId="3" fillId="19" borderId="27" xfId="0" applyNumberFormat="1" applyFont="1" applyFill="1" applyBorder="1" applyAlignment="1">
      <alignment horizontal="center" vertical="center"/>
    </xf>
    <xf numFmtId="49" fontId="3" fillId="19" borderId="27" xfId="0" applyNumberFormat="1" applyFont="1" applyFill="1" applyBorder="1" applyAlignment="1">
      <alignment horizontal="left" vertical="center"/>
    </xf>
    <xf numFmtId="0" fontId="3" fillId="19" borderId="27" xfId="0" applyFont="1" applyFill="1" applyBorder="1" applyAlignment="1">
      <alignment horizontal="center" vertical="center"/>
    </xf>
    <xf numFmtId="0" fontId="3" fillId="19" borderId="27" xfId="0" applyFont="1" applyFill="1" applyBorder="1" applyAlignment="1">
      <alignment horizontal="left" vertical="top"/>
    </xf>
    <xf numFmtId="0" fontId="3" fillId="19" borderId="27" xfId="0" applyFont="1" applyFill="1" applyBorder="1" applyAlignment="1">
      <alignment horizontal="center"/>
    </xf>
    <xf numFmtId="0" fontId="3" fillId="19" borderId="27" xfId="0" applyFont="1" applyFill="1" applyBorder="1"/>
    <xf numFmtId="0" fontId="4" fillId="19" borderId="27" xfId="0" applyFont="1" applyFill="1" applyBorder="1" applyAlignment="1"/>
    <xf numFmtId="0" fontId="5" fillId="0" borderId="27" xfId="0" applyFont="1" applyBorder="1" applyAlignment="1"/>
    <xf numFmtId="0" fontId="5" fillId="0" borderId="27" xfId="0" applyFont="1" applyBorder="1"/>
    <xf numFmtId="0" fontId="0" fillId="0" borderId="27" xfId="0" applyBorder="1"/>
    <xf numFmtId="49" fontId="3" fillId="6" borderId="27" xfId="0" applyNumberFormat="1" applyFont="1" applyFill="1" applyBorder="1" applyAlignment="1">
      <alignment horizontal="center" vertical="center"/>
    </xf>
    <xf numFmtId="49" fontId="3" fillId="6" borderId="27" xfId="0" applyNumberFormat="1" applyFont="1" applyFill="1" applyBorder="1" applyAlignment="1">
      <alignment horizontal="left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left" vertical="top"/>
    </xf>
    <xf numFmtId="0" fontId="0" fillId="0" borderId="27" xfId="0" applyBorder="1" applyAlignment="1">
      <alignment horizontal="center"/>
    </xf>
    <xf numFmtId="0" fontId="3" fillId="15" borderId="27" xfId="0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/>
    </xf>
    <xf numFmtId="0" fontId="3" fillId="15" borderId="27" xfId="0" applyFont="1" applyFill="1" applyBorder="1"/>
    <xf numFmtId="0" fontId="3" fillId="15" borderId="27" xfId="0" applyFont="1" applyFill="1" applyBorder="1" applyAlignment="1"/>
    <xf numFmtId="0" fontId="3" fillId="15" borderId="27" xfId="0" applyFont="1" applyFill="1" applyBorder="1" applyAlignment="1">
      <alignment vertical="center"/>
    </xf>
    <xf numFmtId="49" fontId="3" fillId="16" borderId="27" xfId="0" applyNumberFormat="1" applyFont="1" applyFill="1" applyBorder="1" applyAlignment="1">
      <alignment horizontal="center" vertical="center"/>
    </xf>
    <xf numFmtId="49" fontId="3" fillId="16" borderId="27" xfId="0" applyNumberFormat="1" applyFont="1" applyFill="1" applyBorder="1" applyAlignment="1">
      <alignment horizontal="left" vertical="center"/>
    </xf>
    <xf numFmtId="0" fontId="3" fillId="16" borderId="27" xfId="0" applyFont="1" applyFill="1" applyBorder="1" applyAlignment="1">
      <alignment horizontal="center" vertical="center"/>
    </xf>
    <xf numFmtId="0" fontId="3" fillId="16" borderId="27" xfId="0" applyFont="1" applyFill="1" applyBorder="1" applyAlignment="1">
      <alignment horizontal="left" vertical="top"/>
    </xf>
    <xf numFmtId="0" fontId="4" fillId="15" borderId="27" xfId="0" applyFont="1" applyFill="1" applyBorder="1" applyAlignment="1"/>
    <xf numFmtId="177" fontId="3" fillId="3" borderId="27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left" vertical="top"/>
    </xf>
    <xf numFmtId="176" fontId="3" fillId="3" borderId="27" xfId="0" applyNumberFormat="1" applyFont="1" applyFill="1" applyBorder="1" applyAlignment="1">
      <alignment horizontal="center" vertical="center"/>
    </xf>
    <xf numFmtId="0" fontId="6" fillId="3" borderId="27" xfId="0" applyFont="1" applyFill="1" applyBorder="1"/>
    <xf numFmtId="0" fontId="41" fillId="0" borderId="27" xfId="0" applyFont="1" applyFill="1" applyBorder="1" applyAlignment="1">
      <alignment vertical="center"/>
    </xf>
    <xf numFmtId="0" fontId="7" fillId="0" borderId="27" xfId="0" applyFont="1" applyBorder="1"/>
    <xf numFmtId="0" fontId="41" fillId="0" borderId="27" xfId="0" applyFont="1" applyFill="1" applyBorder="1"/>
    <xf numFmtId="0" fontId="0" fillId="0" borderId="27" xfId="0" applyFill="1" applyBorder="1"/>
    <xf numFmtId="49" fontId="3" fillId="5" borderId="27" xfId="0" applyNumberFormat="1" applyFont="1" applyFill="1" applyBorder="1" applyAlignment="1">
      <alignment horizontal="center" vertical="center"/>
    </xf>
    <xf numFmtId="49" fontId="3" fillId="5" borderId="27" xfId="0" applyNumberFormat="1" applyFont="1" applyFill="1" applyBorder="1" applyAlignment="1">
      <alignment horizontal="left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left" vertical="top"/>
    </xf>
    <xf numFmtId="0" fontId="3" fillId="5" borderId="27" xfId="0" applyFont="1" applyFill="1" applyBorder="1" applyAlignment="1">
      <alignment horizontal="center"/>
    </xf>
    <xf numFmtId="0" fontId="3" fillId="5" borderId="27" xfId="0" applyFont="1" applyFill="1" applyBorder="1"/>
    <xf numFmtId="0" fontId="4" fillId="5" borderId="27" xfId="0" applyFont="1" applyFill="1" applyBorder="1" applyAlignment="1"/>
    <xf numFmtId="0" fontId="3" fillId="20" borderId="27" xfId="0" applyFont="1" applyFill="1" applyBorder="1" applyAlignment="1">
      <alignment horizontal="center" vertical="center"/>
    </xf>
    <xf numFmtId="176" fontId="3" fillId="20" borderId="27" xfId="0" applyNumberFormat="1" applyFont="1" applyFill="1" applyBorder="1" applyAlignment="1">
      <alignment horizontal="center" vertical="center"/>
    </xf>
    <xf numFmtId="49" fontId="8" fillId="3" borderId="27" xfId="0" applyNumberFormat="1" applyFont="1" applyFill="1" applyBorder="1" applyAlignment="1">
      <alignment horizontal="center" vertical="center"/>
    </xf>
    <xf numFmtId="49" fontId="8" fillId="3" borderId="27" xfId="0" applyNumberFormat="1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left" vertical="top"/>
    </xf>
    <xf numFmtId="0" fontId="3" fillId="5" borderId="27" xfId="0" applyFont="1" applyFill="1" applyBorder="1" applyAlignment="1">
      <alignment horizontal="left"/>
    </xf>
    <xf numFmtId="49" fontId="2" fillId="6" borderId="27" xfId="0" applyNumberFormat="1" applyFont="1" applyFill="1" applyBorder="1" applyAlignment="1">
      <alignment horizontal="center" vertical="center"/>
    </xf>
    <xf numFmtId="49" fontId="2" fillId="6" borderId="27" xfId="0" applyNumberFormat="1" applyFont="1" applyFill="1" applyBorder="1" applyAlignment="1">
      <alignment horizontal="left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left" vertical="top"/>
    </xf>
    <xf numFmtId="0" fontId="48" fillId="3" borderId="27" xfId="0" applyFont="1" applyFill="1" applyBorder="1" applyAlignment="1">
      <alignment horizontal="left" vertical="top"/>
    </xf>
    <xf numFmtId="0" fontId="5" fillId="3" borderId="27" xfId="0" applyFont="1" applyFill="1" applyBorder="1" applyAlignment="1">
      <alignment horizontal="left" vertical="top"/>
    </xf>
    <xf numFmtId="0" fontId="3" fillId="4" borderId="27" xfId="0" applyFont="1" applyFill="1" applyBorder="1" applyAlignment="1">
      <alignment horizontal="left" vertical="center" wrapText="1"/>
    </xf>
    <xf numFmtId="0" fontId="5" fillId="6" borderId="27" xfId="0" applyFont="1" applyFill="1" applyBorder="1" applyAlignment="1">
      <alignment horizontal="left" vertical="top"/>
    </xf>
    <xf numFmtId="0" fontId="36" fillId="0" borderId="27" xfId="0" applyFont="1" applyFill="1" applyBorder="1" applyAlignment="1">
      <alignment vertical="center" wrapText="1"/>
    </xf>
    <xf numFmtId="0" fontId="5" fillId="21" borderId="27" xfId="0" applyFont="1" applyFill="1" applyBorder="1" applyAlignment="1">
      <alignment horizontal="left" vertical="top"/>
    </xf>
    <xf numFmtId="0" fontId="48" fillId="21" borderId="27" xfId="0" applyFont="1" applyFill="1" applyBorder="1" applyAlignment="1">
      <alignment horizontal="left" vertical="top"/>
    </xf>
    <xf numFmtId="0" fontId="0" fillId="0" borderId="0" xfId="0" applyFont="1" applyAlignment="1"/>
    <xf numFmtId="14" fontId="1" fillId="2" borderId="27" xfId="0" applyNumberFormat="1" applyFont="1" applyFill="1" applyBorder="1" applyAlignment="1">
      <alignment horizontal="center" vertical="center"/>
    </xf>
    <xf numFmtId="14" fontId="3" fillId="3" borderId="27" xfId="0" applyNumberFormat="1" applyFont="1" applyFill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14" fontId="3" fillId="19" borderId="27" xfId="0" applyNumberFormat="1" applyFont="1" applyFill="1" applyBorder="1" applyAlignment="1">
      <alignment horizontal="center" vertical="center"/>
    </xf>
    <xf numFmtId="14" fontId="35" fillId="0" borderId="27" xfId="0" applyNumberFormat="1" applyFont="1" applyBorder="1" applyAlignment="1">
      <alignment horizontal="center" vertical="center" wrapText="1"/>
    </xf>
    <xf numFmtId="14" fontId="3" fillId="6" borderId="27" xfId="0" applyNumberFormat="1" applyFont="1" applyFill="1" applyBorder="1" applyAlignment="1">
      <alignment horizontal="center" vertical="center"/>
    </xf>
    <xf numFmtId="14" fontId="3" fillId="16" borderId="27" xfId="0" applyNumberFormat="1" applyFont="1" applyFill="1" applyBorder="1" applyAlignment="1">
      <alignment horizontal="center" vertical="center"/>
    </xf>
    <xf numFmtId="14" fontId="3" fillId="5" borderId="27" xfId="0" applyNumberFormat="1" applyFont="1" applyFill="1" applyBorder="1" applyAlignment="1">
      <alignment horizontal="center" vertical="center"/>
    </xf>
    <xf numFmtId="14" fontId="8" fillId="3" borderId="27" xfId="0" applyNumberFormat="1" applyFont="1" applyFill="1" applyBorder="1" applyAlignment="1">
      <alignment horizontal="center" vertical="center"/>
    </xf>
    <xf numFmtId="14" fontId="2" fillId="6" borderId="27" xfId="0" applyNumberFormat="1" applyFont="1" applyFill="1" applyBorder="1" applyAlignment="1">
      <alignment horizontal="center" vertical="center"/>
    </xf>
    <xf numFmtId="14" fontId="0" fillId="0" borderId="0" xfId="0" applyNumberFormat="1" applyFont="1" applyAlignment="1"/>
    <xf numFmtId="0" fontId="10" fillId="0" borderId="0" xfId="0" applyFont="1" applyAlignment="1">
      <alignment horizontal="left" vertical="center" wrapText="1"/>
    </xf>
    <xf numFmtId="0" fontId="0" fillId="0" borderId="0" xfId="0" applyFont="1" applyAlignment="1"/>
    <xf numFmtId="0" fontId="10" fillId="0" borderId="3" xfId="0" applyFont="1" applyBorder="1" applyAlignment="1">
      <alignment horizontal="center" vertical="center" wrapText="1"/>
    </xf>
    <xf numFmtId="0" fontId="15" fillId="0" borderId="5" xfId="0" applyFont="1" applyBorder="1"/>
    <xf numFmtId="0" fontId="10" fillId="0" borderId="3" xfId="0" applyFont="1" applyBorder="1" applyAlignment="1">
      <alignment horizontal="left" vertical="center" wrapText="1"/>
    </xf>
    <xf numFmtId="0" fontId="15" fillId="0" borderId="4" xfId="0" applyFont="1" applyBorder="1"/>
    <xf numFmtId="176" fontId="14" fillId="10" borderId="7" xfId="0" applyNumberFormat="1" applyFont="1" applyFill="1" applyBorder="1" applyAlignment="1">
      <alignment horizontal="center" vertical="center" wrapText="1"/>
    </xf>
    <xf numFmtId="0" fontId="15" fillId="0" borderId="9" xfId="0" applyFont="1" applyBorder="1"/>
    <xf numFmtId="0" fontId="14" fillId="10" borderId="7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vertical="center"/>
    </xf>
    <xf numFmtId="0" fontId="15" fillId="0" borderId="6" xfId="0" applyFont="1" applyBorder="1"/>
    <xf numFmtId="0" fontId="17" fillId="0" borderId="0" xfId="0" applyFont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5" fillId="0" borderId="8" xfId="0" applyFont="1" applyBorder="1"/>
    <xf numFmtId="0" fontId="14" fillId="10" borderId="10" xfId="0" applyFont="1" applyFill="1" applyBorder="1" applyAlignment="1">
      <alignment horizontal="center" vertical="center" wrapText="1"/>
    </xf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6" fillId="0" borderId="6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0" fontId="15" fillId="0" borderId="18" xfId="0" applyFont="1" applyBorder="1"/>
    <xf numFmtId="0" fontId="49" fillId="0" borderId="27" xfId="0" applyFont="1" applyBorder="1" applyAlignment="1"/>
    <xf numFmtId="0" fontId="35" fillId="0" borderId="28" xfId="0" applyFont="1" applyFill="1" applyBorder="1" applyAlignment="1">
      <alignment vertical="center" wrapText="1"/>
    </xf>
    <xf numFmtId="0" fontId="49" fillId="0" borderId="27" xfId="0" applyFont="1" applyBorder="1" applyAlignment="1">
      <alignment horizontal="left"/>
    </xf>
    <xf numFmtId="0" fontId="35" fillId="0" borderId="2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vertical="center" wrapText="1"/>
    </xf>
    <xf numFmtId="0" fontId="35" fillId="17" borderId="28" xfId="0" applyFont="1" applyFill="1" applyBorder="1" applyAlignment="1">
      <alignment vertical="center" wrapText="1"/>
    </xf>
    <xf numFmtId="0" fontId="35" fillId="17" borderId="29" xfId="0" applyFont="1" applyFill="1" applyBorder="1" applyAlignment="1">
      <alignment vertical="center" wrapText="1"/>
    </xf>
    <xf numFmtId="0" fontId="36" fillId="0" borderId="29" xfId="0" applyFont="1" applyFill="1" applyBorder="1" applyAlignment="1">
      <alignment vertical="center" wrapText="1"/>
    </xf>
    <xf numFmtId="0" fontId="3" fillId="15" borderId="28" xfId="0" applyFont="1" applyFill="1" applyBorder="1"/>
    <xf numFmtId="0" fontId="3" fillId="15" borderId="29" xfId="0" applyFont="1" applyFill="1" applyBorder="1"/>
    <xf numFmtId="0" fontId="49" fillId="0" borderId="27" xfId="0" applyFont="1" applyBorder="1" applyAlignment="1">
      <alignment horizontal="center" vertical="center" wrapText="1" readingOrder="1"/>
    </xf>
    <xf numFmtId="0" fontId="49" fillId="0" borderId="27" xfId="0" applyFont="1" applyBorder="1" applyAlignment="1">
      <alignment horizontal="left" vertical="center" wrapText="1" readingOrder="1"/>
    </xf>
    <xf numFmtId="0" fontId="49" fillId="0" borderId="27" xfId="0" applyFont="1" applyBorder="1" applyAlignment="1">
      <alignment horizontal="left" vertical="center" readingOrder="1"/>
    </xf>
    <xf numFmtId="0" fontId="50" fillId="0" borderId="27" xfId="0" applyFont="1" applyBorder="1" applyAlignment="1">
      <alignment horizontal="left" vertical="center" readingOrder="1"/>
    </xf>
    <xf numFmtId="0" fontId="0" fillId="0" borderId="27" xfId="0" applyFont="1" applyBorder="1" applyAlignment="1"/>
    <xf numFmtId="0" fontId="35" fillId="0" borderId="27" xfId="0" applyFont="1" applyFill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 readingOrder="1"/>
    </xf>
    <xf numFmtId="0" fontId="49" fillId="0" borderId="27" xfId="0" applyFont="1" applyBorder="1" applyAlignment="1">
      <alignment vertical="center" readingOrder="1"/>
    </xf>
    <xf numFmtId="0" fontId="54" fillId="0" borderId="27" xfId="0" applyFont="1" applyBorder="1" applyAlignment="1">
      <alignment vertical="center" readingOrder="1"/>
    </xf>
    <xf numFmtId="0" fontId="49" fillId="0" borderId="27" xfId="0" applyFont="1" applyBorder="1" applyAlignment="1">
      <alignment vertical="center" wrapText="1" readingOrder="1"/>
    </xf>
    <xf numFmtId="0" fontId="26" fillId="0" borderId="27" xfId="0" applyFont="1" applyBorder="1" applyAlignment="1">
      <alignment horizontal="left" vertical="center" readingOrder="1"/>
    </xf>
    <xf numFmtId="0" fontId="26" fillId="0" borderId="27" xfId="0" applyFont="1" applyBorder="1" applyAlignment="1"/>
    <xf numFmtId="0" fontId="52" fillId="0" borderId="27" xfId="0" applyFont="1" applyBorder="1" applyAlignment="1">
      <alignment horizontal="left" vertical="center" wrapText="1" readingOrder="1"/>
    </xf>
    <xf numFmtId="0" fontId="53" fillId="0" borderId="27" xfId="0" applyFont="1" applyBorder="1" applyAlignment="1">
      <alignment horizontal="left" vertical="center" wrapText="1" readingOrder="1"/>
    </xf>
    <xf numFmtId="0" fontId="50" fillId="0" borderId="27" xfId="0" applyFont="1" applyBorder="1" applyAlignment="1"/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93"/>
  <sheetViews>
    <sheetView tabSelected="1" zoomScaleNormal="100" workbookViewId="0">
      <pane xSplit="11" ySplit="1" topLeftCell="L83" activePane="bottomRight" state="frozen"/>
      <selection pane="topRight" activeCell="L1" sqref="L1"/>
      <selection pane="bottomLeft" activeCell="A2" sqref="A2"/>
      <selection pane="bottomRight" activeCell="J105" sqref="J105"/>
    </sheetView>
  </sheetViews>
  <sheetFormatPr defaultColWidth="14.42578125" defaultRowHeight="15" outlineLevelRow="1"/>
  <cols>
    <col min="1" max="1" width="8.140625" customWidth="1"/>
    <col min="2" max="2" width="14.28515625" customWidth="1"/>
    <col min="3" max="3" width="14.140625" customWidth="1"/>
    <col min="4" max="4" width="22.85546875" customWidth="1"/>
    <col min="5" max="5" width="22.140625" customWidth="1"/>
    <col min="6" max="9" width="20" customWidth="1"/>
    <col min="10" max="10" width="19.85546875" customWidth="1"/>
    <col min="11" max="11" width="4" customWidth="1"/>
    <col min="12" max="12" width="9.85546875" customWidth="1"/>
    <col min="13" max="13" width="9" customWidth="1"/>
    <col min="14" max="14" width="9.85546875" style="190" customWidth="1"/>
    <col min="15" max="15" width="4" customWidth="1"/>
    <col min="16" max="16" width="9.85546875" customWidth="1"/>
    <col min="17" max="17" width="50.7109375" customWidth="1"/>
    <col min="18" max="18" width="8" customWidth="1"/>
    <col min="19" max="19" width="9.85546875" customWidth="1"/>
    <col min="20" max="21" width="6.28515625" customWidth="1"/>
    <col min="22" max="22" width="56.28515625" customWidth="1"/>
    <col min="23" max="23" width="8.7109375" style="179" customWidth="1"/>
    <col min="24" max="25" width="12.42578125" style="179" customWidth="1"/>
    <col min="26" max="26" width="8.7109375" style="179" customWidth="1"/>
    <col min="27" max="27" width="108" style="179" customWidth="1"/>
    <col min="28" max="28" width="10.7109375" style="179" customWidth="1"/>
    <col min="29" max="29" width="10.28515625" style="179" customWidth="1"/>
    <col min="30" max="30" width="14.85546875" style="179" customWidth="1"/>
    <col min="31" max="32" width="8.7109375" style="179" customWidth="1"/>
  </cols>
  <sheetData>
    <row r="1" spans="1:32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2" t="s">
        <v>6</v>
      </c>
      <c r="H1" s="102" t="s">
        <v>7</v>
      </c>
      <c r="I1" s="102" t="s">
        <v>8</v>
      </c>
      <c r="J1" s="102" t="s">
        <v>9</v>
      </c>
      <c r="K1" s="102" t="s">
        <v>10</v>
      </c>
      <c r="L1" s="103" t="s">
        <v>11</v>
      </c>
      <c r="M1" s="103" t="s">
        <v>12</v>
      </c>
      <c r="N1" s="180" t="s">
        <v>13</v>
      </c>
      <c r="O1" s="102" t="s">
        <v>14</v>
      </c>
      <c r="P1" s="102" t="s">
        <v>15</v>
      </c>
      <c r="Q1" s="104" t="s">
        <v>12</v>
      </c>
      <c r="R1" s="102" t="s">
        <v>13</v>
      </c>
      <c r="S1" s="102" t="s">
        <v>14</v>
      </c>
      <c r="T1" s="102" t="s">
        <v>16</v>
      </c>
      <c r="U1" s="102" t="s">
        <v>17</v>
      </c>
      <c r="V1" s="102" t="s">
        <v>18</v>
      </c>
      <c r="W1" s="102" t="s">
        <v>2</v>
      </c>
      <c r="X1" s="105" t="str">
        <f>"pg " &amp; SUM(X2:X491)</f>
        <v>pg 251</v>
      </c>
      <c r="Y1" s="105" t="str">
        <f>"T " &amp; SUM(Y2:Y491)</f>
        <v>T 432</v>
      </c>
      <c r="Z1" s="105" t="str">
        <f>"pu " &amp; SUM(Z2:Z491)</f>
        <v>pu 93</v>
      </c>
      <c r="AA1" s="102" t="s">
        <v>19</v>
      </c>
      <c r="AB1" s="102" t="s">
        <v>20</v>
      </c>
      <c r="AC1" s="102" t="s">
        <v>21</v>
      </c>
      <c r="AD1" s="102" t="s">
        <v>22</v>
      </c>
      <c r="AE1" s="1"/>
      <c r="AF1" s="1"/>
    </row>
    <row r="2" spans="1:32" outlineLevel="1">
      <c r="A2" s="106">
        <v>1</v>
      </c>
      <c r="B2" s="73" t="s">
        <v>1582</v>
      </c>
      <c r="C2" s="73" t="s">
        <v>1583</v>
      </c>
      <c r="D2" s="219" t="s">
        <v>1584</v>
      </c>
      <c r="E2" s="75" t="s">
        <v>1585</v>
      </c>
      <c r="F2" s="218"/>
      <c r="G2" s="75"/>
      <c r="H2" s="75"/>
      <c r="I2" s="75"/>
      <c r="J2" s="76"/>
      <c r="K2" s="77" t="s">
        <v>1544</v>
      </c>
      <c r="L2" s="107" t="s">
        <v>25</v>
      </c>
      <c r="M2" s="108"/>
      <c r="N2" s="181">
        <v>46174</v>
      </c>
      <c r="O2" s="109" t="s">
        <v>24</v>
      </c>
      <c r="P2" s="109"/>
      <c r="Q2" s="110"/>
      <c r="R2" s="109"/>
      <c r="S2" s="109"/>
      <c r="T2" s="106"/>
      <c r="U2" s="106"/>
      <c r="V2" s="106"/>
      <c r="W2" s="73" t="s">
        <v>2625</v>
      </c>
      <c r="X2" s="73">
        <v>1</v>
      </c>
      <c r="Y2" s="73">
        <v>1</v>
      </c>
      <c r="Z2" s="73"/>
      <c r="AA2" s="111" t="s">
        <v>26</v>
      </c>
      <c r="AB2" s="112"/>
      <c r="AC2" s="106"/>
      <c r="AD2" s="106"/>
      <c r="AE2" s="2"/>
      <c r="AF2" s="2"/>
    </row>
    <row r="3" spans="1:32" outlineLevel="1">
      <c r="A3" s="106">
        <v>2</v>
      </c>
      <c r="B3" s="73"/>
      <c r="C3" s="73"/>
      <c r="D3" s="216" t="s">
        <v>1586</v>
      </c>
      <c r="E3" s="75"/>
      <c r="F3" s="218"/>
      <c r="G3" s="75"/>
      <c r="H3" s="75"/>
      <c r="I3" s="75"/>
      <c r="J3" s="76"/>
      <c r="K3" s="73"/>
      <c r="L3" s="113"/>
      <c r="M3" s="114"/>
      <c r="N3" s="182"/>
      <c r="O3" s="115"/>
      <c r="P3" s="115"/>
      <c r="Q3" s="116"/>
      <c r="R3" s="115"/>
      <c r="S3" s="115"/>
      <c r="T3" s="106"/>
      <c r="U3" s="106"/>
      <c r="V3" s="106"/>
      <c r="W3" s="73"/>
      <c r="X3" s="73"/>
      <c r="Y3" s="73"/>
      <c r="Z3" s="73"/>
      <c r="AA3" s="117" t="s">
        <v>27</v>
      </c>
      <c r="AB3" s="112"/>
      <c r="AC3" s="106" t="s">
        <v>28</v>
      </c>
      <c r="AD3" s="106" t="s">
        <v>29</v>
      </c>
      <c r="AE3" s="2"/>
      <c r="AF3" s="3" t="s">
        <v>30</v>
      </c>
    </row>
    <row r="4" spans="1:32" outlineLevel="1">
      <c r="A4" s="106">
        <v>3</v>
      </c>
      <c r="B4" s="73"/>
      <c r="C4" s="73"/>
      <c r="D4" s="216" t="s">
        <v>1587</v>
      </c>
      <c r="E4" s="75"/>
      <c r="F4" s="218"/>
      <c r="G4" s="75"/>
      <c r="H4" s="75"/>
      <c r="I4" s="75"/>
      <c r="J4" s="76"/>
      <c r="K4" s="73"/>
      <c r="L4" s="113"/>
      <c r="M4" s="114"/>
      <c r="N4" s="182"/>
      <c r="O4" s="115"/>
      <c r="P4" s="115"/>
      <c r="Q4" s="116"/>
      <c r="R4" s="115"/>
      <c r="S4" s="115"/>
      <c r="T4" s="106"/>
      <c r="U4" s="106"/>
      <c r="V4" s="106"/>
      <c r="W4" s="73"/>
      <c r="X4" s="73"/>
      <c r="Y4" s="73"/>
      <c r="Z4" s="73"/>
      <c r="AA4" s="117" t="s">
        <v>31</v>
      </c>
      <c r="AB4" s="112"/>
      <c r="AC4" s="106" t="s">
        <v>28</v>
      </c>
      <c r="AD4" s="106" t="s">
        <v>29</v>
      </c>
      <c r="AE4" s="2"/>
      <c r="AF4" s="2"/>
    </row>
    <row r="5" spans="1:32" ht="24" outlineLevel="1">
      <c r="A5" s="106">
        <v>4</v>
      </c>
      <c r="B5" s="73"/>
      <c r="C5" s="73"/>
      <c r="D5" s="216" t="s">
        <v>1588</v>
      </c>
      <c r="E5" s="75"/>
      <c r="F5" s="218"/>
      <c r="G5" s="75"/>
      <c r="H5" s="75"/>
      <c r="I5" s="75"/>
      <c r="J5" s="76"/>
      <c r="K5" s="73"/>
      <c r="L5" s="113"/>
      <c r="M5" s="114"/>
      <c r="N5" s="182"/>
      <c r="O5" s="115"/>
      <c r="P5" s="115"/>
      <c r="Q5" s="116"/>
      <c r="R5" s="115"/>
      <c r="S5" s="115"/>
      <c r="T5" s="106"/>
      <c r="U5" s="106"/>
      <c r="V5" s="106"/>
      <c r="W5" s="73"/>
      <c r="X5" s="73"/>
      <c r="Y5" s="73"/>
      <c r="Z5" s="73"/>
      <c r="AA5" s="117" t="s">
        <v>32</v>
      </c>
      <c r="AB5" s="118"/>
      <c r="AC5" s="106"/>
      <c r="AD5" s="106"/>
      <c r="AE5" s="2"/>
      <c r="AF5" s="2"/>
    </row>
    <row r="6" spans="1:32" outlineLevel="1">
      <c r="A6" s="106">
        <v>5</v>
      </c>
      <c r="B6" s="73" t="s">
        <v>1589</v>
      </c>
      <c r="C6" s="73"/>
      <c r="D6" s="216" t="s">
        <v>1553</v>
      </c>
      <c r="E6" s="75" t="s">
        <v>1590</v>
      </c>
      <c r="F6" s="218"/>
      <c r="G6" s="75"/>
      <c r="H6" s="75"/>
      <c r="I6" s="75"/>
      <c r="J6" s="76"/>
      <c r="K6" s="77" t="s">
        <v>1544</v>
      </c>
      <c r="L6" s="107" t="s">
        <v>25</v>
      </c>
      <c r="M6" s="108"/>
      <c r="N6" s="181">
        <v>46174</v>
      </c>
      <c r="O6" s="109" t="s">
        <v>24</v>
      </c>
      <c r="P6" s="109"/>
      <c r="Q6" s="172" t="s">
        <v>1559</v>
      </c>
      <c r="R6" s="109"/>
      <c r="S6" s="109"/>
      <c r="T6" s="106"/>
      <c r="U6" s="106"/>
      <c r="V6" s="106"/>
      <c r="W6" s="73" t="s">
        <v>2625</v>
      </c>
      <c r="X6" s="73">
        <v>1</v>
      </c>
      <c r="Y6" s="73">
        <v>1</v>
      </c>
      <c r="Z6" s="73"/>
      <c r="AA6" s="111" t="s">
        <v>33</v>
      </c>
      <c r="AB6" s="112"/>
      <c r="AC6" s="106"/>
      <c r="AD6" s="106"/>
      <c r="AE6" s="2"/>
      <c r="AF6" s="2"/>
    </row>
    <row r="7" spans="1:32" outlineLevel="1">
      <c r="A7" s="106">
        <v>6</v>
      </c>
      <c r="B7" s="73" t="s">
        <v>1554</v>
      </c>
      <c r="C7" s="73"/>
      <c r="D7" s="216" t="s">
        <v>1546</v>
      </c>
      <c r="E7" s="75" t="s">
        <v>1591</v>
      </c>
      <c r="F7" s="218"/>
      <c r="G7" s="75"/>
      <c r="H7" s="75"/>
      <c r="I7" s="75"/>
      <c r="J7" s="76"/>
      <c r="K7" s="77" t="s">
        <v>1592</v>
      </c>
      <c r="L7" s="107"/>
      <c r="M7" s="108"/>
      <c r="N7" s="181"/>
      <c r="O7" s="119" t="s">
        <v>34</v>
      </c>
      <c r="P7" s="120">
        <v>46181</v>
      </c>
      <c r="Q7" s="172" t="s">
        <v>1559</v>
      </c>
      <c r="R7" s="109"/>
      <c r="S7" s="109"/>
      <c r="T7" s="106"/>
      <c r="U7" s="106"/>
      <c r="V7" s="106"/>
      <c r="W7" s="73" t="s">
        <v>1558</v>
      </c>
      <c r="X7" s="73"/>
      <c r="Y7" s="73">
        <v>1</v>
      </c>
      <c r="Z7" s="73">
        <v>1</v>
      </c>
      <c r="AA7" s="111" t="s">
        <v>35</v>
      </c>
      <c r="AB7" s="118"/>
      <c r="AC7" s="106"/>
      <c r="AD7" s="106"/>
      <c r="AE7" s="2"/>
      <c r="AF7" s="2"/>
    </row>
    <row r="8" spans="1:32" outlineLevel="1">
      <c r="A8" s="106">
        <v>7</v>
      </c>
      <c r="B8" s="73" t="s">
        <v>1593</v>
      </c>
      <c r="C8" s="73"/>
      <c r="D8" s="216" t="s">
        <v>1594</v>
      </c>
      <c r="E8" s="75" t="s">
        <v>1595</v>
      </c>
      <c r="F8" s="218"/>
      <c r="G8" s="75"/>
      <c r="H8" s="75"/>
      <c r="I8" s="75"/>
      <c r="J8" s="76"/>
      <c r="K8" s="77" t="s">
        <v>1592</v>
      </c>
      <c r="L8" s="107"/>
      <c r="M8" s="108"/>
      <c r="N8" s="181"/>
      <c r="O8" s="119" t="s">
        <v>34</v>
      </c>
      <c r="P8" s="120">
        <v>46181</v>
      </c>
      <c r="Q8" s="172" t="s">
        <v>1559</v>
      </c>
      <c r="R8" s="109"/>
      <c r="S8" s="109"/>
      <c r="T8" s="106"/>
      <c r="U8" s="106"/>
      <c r="V8" s="106"/>
      <c r="W8" s="73" t="s">
        <v>1558</v>
      </c>
      <c r="X8" s="73"/>
      <c r="Y8" s="73">
        <v>1</v>
      </c>
      <c r="Z8" s="73">
        <v>1</v>
      </c>
      <c r="AA8" s="111" t="s">
        <v>36</v>
      </c>
      <c r="AB8" s="112"/>
      <c r="AC8" s="106"/>
      <c r="AD8" s="106"/>
      <c r="AE8" s="2"/>
      <c r="AF8" s="2"/>
    </row>
    <row r="9" spans="1:32" outlineLevel="1">
      <c r="A9" s="106">
        <v>8</v>
      </c>
      <c r="B9" s="73" t="s">
        <v>1596</v>
      </c>
      <c r="C9" s="73"/>
      <c r="D9" s="216" t="s">
        <v>1597</v>
      </c>
      <c r="E9" s="75" t="s">
        <v>1598</v>
      </c>
      <c r="F9" s="218"/>
      <c r="G9" s="75"/>
      <c r="H9" s="75"/>
      <c r="I9" s="75"/>
      <c r="J9" s="76"/>
      <c r="K9" s="77" t="s">
        <v>1592</v>
      </c>
      <c r="L9" s="107"/>
      <c r="M9" s="108"/>
      <c r="N9" s="181"/>
      <c r="O9" s="119" t="s">
        <v>34</v>
      </c>
      <c r="P9" s="120">
        <v>46181</v>
      </c>
      <c r="Q9" s="172" t="s">
        <v>1559</v>
      </c>
      <c r="R9" s="109"/>
      <c r="S9" s="109"/>
      <c r="T9" s="106"/>
      <c r="U9" s="106"/>
      <c r="V9" s="106"/>
      <c r="W9" s="73" t="s">
        <v>2626</v>
      </c>
      <c r="X9" s="73"/>
      <c r="Y9" s="73">
        <v>1</v>
      </c>
      <c r="Z9" s="73">
        <v>1</v>
      </c>
      <c r="AA9" s="111" t="s">
        <v>37</v>
      </c>
      <c r="AB9" s="118"/>
      <c r="AC9" s="106"/>
      <c r="AD9" s="106"/>
      <c r="AE9" s="2"/>
      <c r="AF9" s="2"/>
    </row>
    <row r="10" spans="1:32" outlineLevel="1">
      <c r="A10" s="106">
        <v>9</v>
      </c>
      <c r="B10" s="73" t="s">
        <v>1599</v>
      </c>
      <c r="C10" s="73"/>
      <c r="D10" s="216" t="s">
        <v>1600</v>
      </c>
      <c r="E10" s="75" t="s">
        <v>1601</v>
      </c>
      <c r="F10" s="218"/>
      <c r="G10" s="75"/>
      <c r="H10" s="75"/>
      <c r="I10" s="75"/>
      <c r="J10" s="76"/>
      <c r="K10" s="73"/>
      <c r="L10" s="107" t="s">
        <v>25</v>
      </c>
      <c r="M10" s="114"/>
      <c r="N10" s="182"/>
      <c r="O10" s="119" t="s">
        <v>34</v>
      </c>
      <c r="P10" s="120">
        <v>46181</v>
      </c>
      <c r="Q10" s="172" t="s">
        <v>1560</v>
      </c>
      <c r="R10" s="115"/>
      <c r="S10" s="115"/>
      <c r="T10" s="106"/>
      <c r="U10" s="106"/>
      <c r="V10" s="106"/>
      <c r="W10" s="73"/>
      <c r="X10" s="73"/>
      <c r="Y10" s="73"/>
      <c r="Z10" s="73"/>
      <c r="AA10" s="111" t="s">
        <v>38</v>
      </c>
      <c r="AB10" s="118"/>
      <c r="AC10" s="106"/>
      <c r="AD10" s="106"/>
      <c r="AE10" s="2"/>
      <c r="AF10" s="2"/>
    </row>
    <row r="11" spans="1:32" s="101" customFormat="1">
      <c r="A11" s="106">
        <v>10</v>
      </c>
      <c r="B11" s="83"/>
      <c r="C11" s="83"/>
      <c r="D11" s="220"/>
      <c r="E11" s="84"/>
      <c r="F11" s="221"/>
      <c r="G11" s="84"/>
      <c r="H11" s="84"/>
      <c r="I11" s="84"/>
      <c r="J11" s="84"/>
      <c r="K11" s="83"/>
      <c r="L11" s="121"/>
      <c r="M11" s="122"/>
      <c r="N11" s="183"/>
      <c r="O11" s="123"/>
      <c r="P11" s="123"/>
      <c r="Q11" s="124"/>
      <c r="R11" s="123"/>
      <c r="S11" s="123"/>
      <c r="T11" s="125"/>
      <c r="U11" s="125"/>
      <c r="V11" s="125"/>
      <c r="W11" s="83"/>
      <c r="X11" s="83"/>
      <c r="Y11" s="83"/>
      <c r="Z11" s="83"/>
      <c r="AA11" s="126"/>
      <c r="AB11" s="127"/>
      <c r="AC11" s="125"/>
      <c r="AD11" s="125"/>
      <c r="AE11" s="100"/>
      <c r="AF11" s="100"/>
    </row>
    <row r="12" spans="1:32" outlineLevel="1">
      <c r="A12" s="106">
        <v>11</v>
      </c>
      <c r="B12" s="73" t="s">
        <v>1602</v>
      </c>
      <c r="C12" s="73" t="s">
        <v>1603</v>
      </c>
      <c r="D12" s="216" t="s">
        <v>1604</v>
      </c>
      <c r="E12" s="75" t="s">
        <v>1605</v>
      </c>
      <c r="F12" s="222" t="s">
        <v>1606</v>
      </c>
      <c r="G12" s="75"/>
      <c r="H12" s="75"/>
      <c r="I12" s="75"/>
      <c r="J12" s="76"/>
      <c r="K12" s="77" t="s">
        <v>1592</v>
      </c>
      <c r="L12" s="107" t="s">
        <v>25</v>
      </c>
      <c r="M12" s="108"/>
      <c r="N12" s="181" t="s">
        <v>39</v>
      </c>
      <c r="O12" s="109" t="s">
        <v>24</v>
      </c>
      <c r="P12" s="109"/>
      <c r="Q12" s="110" t="s">
        <v>1577</v>
      </c>
      <c r="R12" s="109"/>
      <c r="S12" s="109"/>
      <c r="T12" s="106"/>
      <c r="U12" s="106"/>
      <c r="V12" s="106"/>
      <c r="W12" s="73" t="s">
        <v>1557</v>
      </c>
      <c r="X12" s="73">
        <v>1</v>
      </c>
      <c r="Y12" s="73">
        <v>1</v>
      </c>
      <c r="Z12" s="73"/>
      <c r="AA12" s="112"/>
      <c r="AB12" s="118"/>
      <c r="AC12" s="106" t="s">
        <v>28</v>
      </c>
      <c r="AD12" s="106" t="s">
        <v>40</v>
      </c>
      <c r="AE12" s="2"/>
      <c r="AF12" s="2"/>
    </row>
    <row r="13" spans="1:32" outlineLevel="1">
      <c r="A13" s="106">
        <v>12</v>
      </c>
      <c r="B13" s="73"/>
      <c r="C13" s="73"/>
      <c r="D13" s="216"/>
      <c r="E13" s="75"/>
      <c r="F13" s="218"/>
      <c r="G13" s="75"/>
      <c r="H13" s="75"/>
      <c r="I13" s="75"/>
      <c r="J13" s="76" t="s">
        <v>41</v>
      </c>
      <c r="K13" s="73"/>
      <c r="L13" s="113"/>
      <c r="M13" s="114"/>
      <c r="N13" s="182"/>
      <c r="O13" s="115"/>
      <c r="P13" s="115"/>
      <c r="Q13" s="116"/>
      <c r="R13" s="115"/>
      <c r="S13" s="115"/>
      <c r="T13" s="106"/>
      <c r="U13" s="106"/>
      <c r="V13" s="106"/>
      <c r="W13" s="73"/>
      <c r="X13" s="73"/>
      <c r="Y13" s="73"/>
      <c r="Z13" s="73"/>
      <c r="AA13" s="111" t="s">
        <v>42</v>
      </c>
      <c r="AB13" s="118"/>
      <c r="AC13" s="106" t="s">
        <v>28</v>
      </c>
      <c r="AD13" s="106" t="s">
        <v>40</v>
      </c>
      <c r="AE13" s="2"/>
      <c r="AF13" s="2"/>
    </row>
    <row r="14" spans="1:32" outlineLevel="1">
      <c r="A14" s="106">
        <v>13</v>
      </c>
      <c r="B14" s="73"/>
      <c r="C14" s="73"/>
      <c r="D14" s="216"/>
      <c r="E14" s="75"/>
      <c r="F14" s="218"/>
      <c r="G14" s="75"/>
      <c r="H14" s="75"/>
      <c r="I14" s="75"/>
      <c r="J14" s="76" t="s">
        <v>1607</v>
      </c>
      <c r="K14" s="73"/>
      <c r="L14" s="113"/>
      <c r="M14" s="114"/>
      <c r="N14" s="182"/>
      <c r="O14" s="115"/>
      <c r="P14" s="115"/>
      <c r="Q14" s="116"/>
      <c r="R14" s="115"/>
      <c r="S14" s="115"/>
      <c r="T14" s="106"/>
      <c r="U14" s="106"/>
      <c r="V14" s="106"/>
      <c r="W14" s="73"/>
      <c r="X14" s="73"/>
      <c r="Y14" s="73"/>
      <c r="Z14" s="73"/>
      <c r="AA14" s="111" t="s">
        <v>43</v>
      </c>
      <c r="AB14" s="118"/>
      <c r="AC14" s="106"/>
      <c r="AD14" s="106"/>
      <c r="AE14" s="2"/>
      <c r="AF14" s="2"/>
    </row>
    <row r="15" spans="1:32" ht="24" outlineLevel="1">
      <c r="A15" s="106">
        <v>14</v>
      </c>
      <c r="B15" s="73" t="s">
        <v>1608</v>
      </c>
      <c r="C15" s="73"/>
      <c r="D15" s="216"/>
      <c r="E15" s="75" t="s">
        <v>1609</v>
      </c>
      <c r="F15" s="218"/>
      <c r="G15" s="176" t="s">
        <v>1610</v>
      </c>
      <c r="H15" s="75"/>
      <c r="I15" s="75"/>
      <c r="J15" s="76"/>
      <c r="K15" s="77" t="s">
        <v>1592</v>
      </c>
      <c r="L15" s="107"/>
      <c r="M15" s="108"/>
      <c r="N15" s="181"/>
      <c r="O15" s="119" t="s">
        <v>34</v>
      </c>
      <c r="P15" s="120">
        <v>46181</v>
      </c>
      <c r="Q15" s="172" t="s">
        <v>1559</v>
      </c>
      <c r="R15" s="109"/>
      <c r="S15" s="109"/>
      <c r="T15" s="106"/>
      <c r="U15" s="106"/>
      <c r="V15" s="106"/>
      <c r="W15" s="73" t="s">
        <v>2627</v>
      </c>
      <c r="X15" s="73"/>
      <c r="Y15" s="73">
        <v>1</v>
      </c>
      <c r="Z15" s="73">
        <v>1</v>
      </c>
      <c r="AA15" s="111" t="s">
        <v>44</v>
      </c>
      <c r="AB15" s="118"/>
      <c r="AC15" s="106"/>
      <c r="AD15" s="106"/>
      <c r="AE15" s="2"/>
      <c r="AF15" s="2"/>
    </row>
    <row r="16" spans="1:32" outlineLevel="1">
      <c r="A16" s="106">
        <v>15</v>
      </c>
      <c r="B16" s="73"/>
      <c r="C16" s="73"/>
      <c r="D16" s="216"/>
      <c r="E16" s="75"/>
      <c r="F16" s="218" t="s">
        <v>1611</v>
      </c>
      <c r="G16" s="75"/>
      <c r="H16" s="75"/>
      <c r="I16" s="75"/>
      <c r="J16" s="76"/>
      <c r="K16" s="73"/>
      <c r="L16" s="113"/>
      <c r="M16" s="114"/>
      <c r="N16" s="182"/>
      <c r="O16" s="115"/>
      <c r="P16" s="115"/>
      <c r="Q16" s="116"/>
      <c r="R16" s="115"/>
      <c r="S16" s="115"/>
      <c r="T16" s="106"/>
      <c r="U16" s="106"/>
      <c r="V16" s="106"/>
      <c r="W16" s="73"/>
      <c r="X16" s="73"/>
      <c r="Y16" s="73"/>
      <c r="Z16" s="73"/>
      <c r="AA16" s="111" t="s">
        <v>45</v>
      </c>
      <c r="AB16" s="118"/>
      <c r="AC16" s="106"/>
      <c r="AD16" s="106"/>
      <c r="AE16" s="2"/>
      <c r="AF16" s="2"/>
    </row>
    <row r="17" spans="1:32" outlineLevel="1">
      <c r="A17" s="106">
        <v>16</v>
      </c>
      <c r="B17" s="73" t="s">
        <v>1612</v>
      </c>
      <c r="C17" s="73"/>
      <c r="D17" s="216"/>
      <c r="E17" s="75" t="s">
        <v>1613</v>
      </c>
      <c r="F17" s="222" t="s">
        <v>1614</v>
      </c>
      <c r="G17" s="75"/>
      <c r="H17" s="75"/>
      <c r="I17" s="75"/>
      <c r="J17" s="76" t="s">
        <v>1615</v>
      </c>
      <c r="K17" s="77" t="s">
        <v>1592</v>
      </c>
      <c r="L17" s="107" t="s">
        <v>25</v>
      </c>
      <c r="M17" s="108"/>
      <c r="N17" s="181" t="s">
        <v>39</v>
      </c>
      <c r="O17" s="109" t="s">
        <v>24</v>
      </c>
      <c r="P17" s="109"/>
      <c r="Q17" s="172" t="s">
        <v>1563</v>
      </c>
      <c r="R17" s="109"/>
      <c r="S17" s="109"/>
      <c r="T17" s="106"/>
      <c r="U17" s="106"/>
      <c r="V17" s="106"/>
      <c r="W17" s="73" t="s">
        <v>2628</v>
      </c>
      <c r="X17" s="73">
        <v>1</v>
      </c>
      <c r="Y17" s="73">
        <v>1</v>
      </c>
      <c r="Z17" s="73"/>
      <c r="AA17" s="111" t="s">
        <v>46</v>
      </c>
      <c r="AB17" s="118"/>
      <c r="AC17" s="106"/>
      <c r="AD17" s="106"/>
      <c r="AE17" s="2"/>
      <c r="AF17" s="2"/>
    </row>
    <row r="18" spans="1:32" outlineLevel="1">
      <c r="A18" s="106">
        <v>17</v>
      </c>
      <c r="B18" s="73" t="s">
        <v>1616</v>
      </c>
      <c r="C18" s="73"/>
      <c r="D18" s="216"/>
      <c r="E18" s="75" t="s">
        <v>1617</v>
      </c>
      <c r="F18" s="218"/>
      <c r="G18" s="176" t="s">
        <v>1618</v>
      </c>
      <c r="H18" s="75"/>
      <c r="I18" s="75"/>
      <c r="J18" s="76"/>
      <c r="K18" s="77" t="s">
        <v>1592</v>
      </c>
      <c r="L18" s="107" t="s">
        <v>25</v>
      </c>
      <c r="M18" s="108"/>
      <c r="N18" s="181" t="s">
        <v>39</v>
      </c>
      <c r="O18" s="109" t="s">
        <v>24</v>
      </c>
      <c r="P18" s="109"/>
      <c r="Q18" s="172" t="s">
        <v>1563</v>
      </c>
      <c r="R18" s="109"/>
      <c r="S18" s="109"/>
      <c r="T18" s="106"/>
      <c r="U18" s="106"/>
      <c r="V18" s="106"/>
      <c r="W18" s="73" t="s">
        <v>2625</v>
      </c>
      <c r="X18" s="73">
        <v>1</v>
      </c>
      <c r="Y18" s="73">
        <v>1</v>
      </c>
      <c r="Z18" s="73"/>
      <c r="AA18" s="112"/>
      <c r="AB18" s="118"/>
      <c r="AC18" s="106"/>
      <c r="AD18" s="106"/>
      <c r="AE18" s="2"/>
      <c r="AF18" s="2"/>
    </row>
    <row r="19" spans="1:32" s="101" customFormat="1">
      <c r="A19" s="106">
        <v>18</v>
      </c>
      <c r="B19" s="83"/>
      <c r="C19" s="83"/>
      <c r="D19" s="220"/>
      <c r="E19" s="84"/>
      <c r="F19" s="221"/>
      <c r="G19" s="84"/>
      <c r="H19" s="84"/>
      <c r="I19" s="84"/>
      <c r="J19" s="84"/>
      <c r="K19" s="83"/>
      <c r="L19" s="121"/>
      <c r="M19" s="122"/>
      <c r="N19" s="183"/>
      <c r="O19" s="123"/>
      <c r="P19" s="123"/>
      <c r="Q19" s="124"/>
      <c r="R19" s="123"/>
      <c r="S19" s="123"/>
      <c r="T19" s="125"/>
      <c r="U19" s="125"/>
      <c r="V19" s="125"/>
      <c r="W19" s="83"/>
      <c r="X19" s="83"/>
      <c r="Y19" s="83"/>
      <c r="Z19" s="83"/>
      <c r="AA19" s="126"/>
      <c r="AB19" s="127"/>
      <c r="AC19" s="125"/>
      <c r="AD19" s="125"/>
      <c r="AE19" s="100"/>
      <c r="AF19" s="100"/>
    </row>
    <row r="20" spans="1:32" outlineLevel="1">
      <c r="A20" s="106">
        <v>19</v>
      </c>
      <c r="B20" s="73" t="s">
        <v>1619</v>
      </c>
      <c r="C20" s="73" t="s">
        <v>1620</v>
      </c>
      <c r="D20" s="216" t="s">
        <v>1621</v>
      </c>
      <c r="E20" s="75" t="s">
        <v>1622</v>
      </c>
      <c r="F20" s="218"/>
      <c r="G20" s="176" t="s">
        <v>1623</v>
      </c>
      <c r="H20" s="75"/>
      <c r="I20" s="75"/>
      <c r="J20" s="76"/>
      <c r="K20" s="77" t="s">
        <v>1592</v>
      </c>
      <c r="L20" s="107"/>
      <c r="M20" s="108"/>
      <c r="N20" s="181"/>
      <c r="O20" s="119" t="s">
        <v>34</v>
      </c>
      <c r="P20" s="120">
        <v>46181</v>
      </c>
      <c r="Q20" s="173" t="s">
        <v>1561</v>
      </c>
      <c r="R20" s="109"/>
      <c r="S20" s="109"/>
      <c r="T20" s="106"/>
      <c r="U20" s="106"/>
      <c r="V20" s="106"/>
      <c r="W20" s="73" t="s">
        <v>1557</v>
      </c>
      <c r="X20" s="73">
        <v>1</v>
      </c>
      <c r="Y20" s="73">
        <v>1</v>
      </c>
      <c r="Z20" s="73"/>
      <c r="AA20" s="111" t="s">
        <v>47</v>
      </c>
      <c r="AB20" s="118"/>
      <c r="AC20" s="106"/>
      <c r="AD20" s="106"/>
      <c r="AE20" s="2"/>
      <c r="AF20" s="2"/>
    </row>
    <row r="21" spans="1:32" outlineLevel="1">
      <c r="A21" s="106">
        <v>20</v>
      </c>
      <c r="B21" s="73" t="s">
        <v>1624</v>
      </c>
      <c r="C21" s="73" t="s">
        <v>1620</v>
      </c>
      <c r="D21" s="216" t="s">
        <v>1621</v>
      </c>
      <c r="E21" s="75" t="s">
        <v>1625</v>
      </c>
      <c r="F21" s="222" t="s">
        <v>1626</v>
      </c>
      <c r="G21" s="75"/>
      <c r="H21" s="75"/>
      <c r="I21" s="75"/>
      <c r="J21" s="76"/>
      <c r="K21" s="77" t="s">
        <v>1592</v>
      </c>
      <c r="L21" s="107" t="s">
        <v>25</v>
      </c>
      <c r="M21" s="108"/>
      <c r="N21" s="181" t="s">
        <v>39</v>
      </c>
      <c r="O21" s="119" t="s">
        <v>34</v>
      </c>
      <c r="P21" s="120">
        <v>46181</v>
      </c>
      <c r="Q21" s="173" t="s">
        <v>1562</v>
      </c>
      <c r="R21" s="109"/>
      <c r="S21" s="109"/>
      <c r="T21" s="106"/>
      <c r="U21" s="106"/>
      <c r="V21" s="106"/>
      <c r="W21" s="73" t="s">
        <v>2625</v>
      </c>
      <c r="X21" s="73">
        <v>1</v>
      </c>
      <c r="Y21" s="73">
        <v>1</v>
      </c>
      <c r="Z21" s="73"/>
      <c r="AA21" s="111" t="s">
        <v>48</v>
      </c>
      <c r="AB21" s="118"/>
      <c r="AC21" s="106"/>
      <c r="AD21" s="106"/>
      <c r="AE21" s="2"/>
      <c r="AF21" s="2"/>
    </row>
    <row r="22" spans="1:32" outlineLevel="1">
      <c r="A22" s="106">
        <v>21</v>
      </c>
      <c r="B22" s="73"/>
      <c r="C22" s="73"/>
      <c r="D22" s="216"/>
      <c r="E22" s="75"/>
      <c r="F22" s="218"/>
      <c r="G22" s="75"/>
      <c r="H22" s="75"/>
      <c r="I22" s="75"/>
      <c r="J22" s="76" t="s">
        <v>1627</v>
      </c>
      <c r="K22" s="73"/>
      <c r="L22" s="113"/>
      <c r="M22" s="114"/>
      <c r="N22" s="182"/>
      <c r="O22" s="115"/>
      <c r="P22" s="115"/>
      <c r="Q22" s="116"/>
      <c r="R22" s="115"/>
      <c r="S22" s="115"/>
      <c r="T22" s="106"/>
      <c r="U22" s="106"/>
      <c r="V22" s="106"/>
      <c r="W22" s="73"/>
      <c r="X22" s="73"/>
      <c r="Y22" s="73"/>
      <c r="Z22" s="73"/>
      <c r="AA22" s="111" t="s">
        <v>49</v>
      </c>
      <c r="AB22" s="118"/>
      <c r="AC22" s="106" t="s">
        <v>50</v>
      </c>
      <c r="AD22" s="106" t="s">
        <v>51</v>
      </c>
      <c r="AE22" s="2"/>
      <c r="AF22" s="2"/>
    </row>
    <row r="23" spans="1:32" outlineLevel="1">
      <c r="A23" s="106">
        <v>22</v>
      </c>
      <c r="B23" s="73"/>
      <c r="C23" s="73"/>
      <c r="D23" s="216"/>
      <c r="E23" s="75"/>
      <c r="F23" s="218"/>
      <c r="G23" s="75" t="s">
        <v>1628</v>
      </c>
      <c r="H23" s="75"/>
      <c r="I23" s="75"/>
      <c r="J23" s="76" t="s">
        <v>1629</v>
      </c>
      <c r="K23" s="73"/>
      <c r="L23" s="113"/>
      <c r="M23" s="114"/>
      <c r="N23" s="182"/>
      <c r="O23" s="115"/>
      <c r="P23" s="115"/>
      <c r="Q23" s="116"/>
      <c r="R23" s="115"/>
      <c r="S23" s="115"/>
      <c r="T23" s="106"/>
      <c r="U23" s="106"/>
      <c r="V23" s="106"/>
      <c r="W23" s="73"/>
      <c r="X23" s="73"/>
      <c r="Y23" s="73"/>
      <c r="Z23" s="73"/>
      <c r="AA23" s="111" t="s">
        <v>53</v>
      </c>
      <c r="AB23" s="118"/>
      <c r="AC23" s="106"/>
      <c r="AD23" s="106"/>
      <c r="AE23" s="2"/>
      <c r="AF23" s="2"/>
    </row>
    <row r="24" spans="1:32" outlineLevel="1">
      <c r="A24" s="106">
        <v>23</v>
      </c>
      <c r="B24" s="73"/>
      <c r="C24" s="73"/>
      <c r="D24" s="216"/>
      <c r="E24" s="75"/>
      <c r="F24" s="218"/>
      <c r="G24" s="75"/>
      <c r="H24" s="75"/>
      <c r="I24" s="75"/>
      <c r="J24" s="76" t="s">
        <v>1630</v>
      </c>
      <c r="K24" s="73"/>
      <c r="L24" s="113"/>
      <c r="M24" s="114"/>
      <c r="N24" s="182"/>
      <c r="O24" s="115"/>
      <c r="P24" s="115"/>
      <c r="Q24" s="116"/>
      <c r="R24" s="115"/>
      <c r="S24" s="115"/>
      <c r="T24" s="106"/>
      <c r="U24" s="106"/>
      <c r="V24" s="106"/>
      <c r="W24" s="73"/>
      <c r="X24" s="73"/>
      <c r="Y24" s="73"/>
      <c r="Z24" s="73"/>
      <c r="AA24" s="111" t="s">
        <v>54</v>
      </c>
      <c r="AB24" s="118"/>
      <c r="AC24" s="106"/>
      <c r="AD24" s="106"/>
      <c r="AE24" s="2"/>
      <c r="AF24" s="2"/>
    </row>
    <row r="25" spans="1:32" outlineLevel="1">
      <c r="A25" s="106">
        <v>24</v>
      </c>
      <c r="B25" s="73"/>
      <c r="C25" s="73"/>
      <c r="D25" s="216"/>
      <c r="E25" s="75"/>
      <c r="F25" s="218"/>
      <c r="G25" s="75"/>
      <c r="H25" s="75"/>
      <c r="I25" s="75"/>
      <c r="J25" s="76" t="s">
        <v>1631</v>
      </c>
      <c r="K25" s="73"/>
      <c r="L25" s="113"/>
      <c r="M25" s="114"/>
      <c r="N25" s="182"/>
      <c r="O25" s="115"/>
      <c r="P25" s="115"/>
      <c r="Q25" s="116"/>
      <c r="R25" s="115"/>
      <c r="S25" s="115"/>
      <c r="T25" s="106"/>
      <c r="U25" s="106"/>
      <c r="V25" s="106"/>
      <c r="W25" s="73"/>
      <c r="X25" s="73"/>
      <c r="Y25" s="73"/>
      <c r="Z25" s="73"/>
      <c r="AA25" s="111" t="s">
        <v>55</v>
      </c>
      <c r="AB25" s="118"/>
      <c r="AC25" s="106"/>
      <c r="AD25" s="106"/>
      <c r="AE25" s="2"/>
      <c r="AF25" s="2"/>
    </row>
    <row r="26" spans="1:32" outlineLevel="1">
      <c r="A26" s="106">
        <v>25</v>
      </c>
      <c r="B26" s="73" t="s">
        <v>1632</v>
      </c>
      <c r="C26" s="73" t="s">
        <v>1620</v>
      </c>
      <c r="D26" s="216" t="s">
        <v>1633</v>
      </c>
      <c r="E26" s="75" t="s">
        <v>1634</v>
      </c>
      <c r="F26" s="218"/>
      <c r="G26" s="176" t="s">
        <v>1635</v>
      </c>
      <c r="H26" s="75"/>
      <c r="I26" s="75"/>
      <c r="J26" s="76"/>
      <c r="K26" s="77" t="s">
        <v>1592</v>
      </c>
      <c r="L26" s="107" t="s">
        <v>25</v>
      </c>
      <c r="M26" s="108"/>
      <c r="N26" s="181"/>
      <c r="O26" s="119" t="s">
        <v>34</v>
      </c>
      <c r="P26" s="120">
        <v>46181</v>
      </c>
      <c r="Q26" s="172" t="s">
        <v>1563</v>
      </c>
      <c r="R26" s="109"/>
      <c r="S26" s="109"/>
      <c r="T26" s="106"/>
      <c r="U26" s="106"/>
      <c r="V26" s="106"/>
      <c r="W26" s="73" t="s">
        <v>1557</v>
      </c>
      <c r="X26" s="73">
        <v>1</v>
      </c>
      <c r="Y26" s="73">
        <v>1</v>
      </c>
      <c r="Z26" s="73"/>
      <c r="AA26" s="111" t="s">
        <v>57</v>
      </c>
      <c r="AB26" s="118"/>
      <c r="AC26" s="106" t="s">
        <v>58</v>
      </c>
      <c r="AD26" s="106" t="s">
        <v>59</v>
      </c>
      <c r="AE26" s="2"/>
      <c r="AF26" s="2"/>
    </row>
    <row r="27" spans="1:32" outlineLevel="1">
      <c r="A27" s="106">
        <v>26</v>
      </c>
      <c r="B27" s="73" t="s">
        <v>1636</v>
      </c>
      <c r="C27" s="73"/>
      <c r="D27" s="216"/>
      <c r="E27" s="75" t="s">
        <v>1637</v>
      </c>
      <c r="F27" s="222" t="s">
        <v>1638</v>
      </c>
      <c r="G27" s="75"/>
      <c r="H27" s="75"/>
      <c r="I27" s="75"/>
      <c r="J27" s="76"/>
      <c r="K27" s="77" t="s">
        <v>1592</v>
      </c>
      <c r="L27" s="107" t="s">
        <v>25</v>
      </c>
      <c r="M27" s="108"/>
      <c r="N27" s="181"/>
      <c r="O27" s="119" t="s">
        <v>34</v>
      </c>
      <c r="P27" s="120">
        <v>46181</v>
      </c>
      <c r="Q27" s="172" t="s">
        <v>1559</v>
      </c>
      <c r="R27" s="109"/>
      <c r="S27" s="109"/>
      <c r="T27" s="106"/>
      <c r="U27" s="106"/>
      <c r="V27" s="106"/>
      <c r="W27" s="73" t="s">
        <v>1558</v>
      </c>
      <c r="X27" s="73"/>
      <c r="Y27" s="73">
        <v>1</v>
      </c>
      <c r="Z27" s="73">
        <v>1</v>
      </c>
      <c r="AA27" s="111" t="s">
        <v>60</v>
      </c>
      <c r="AB27" s="118"/>
      <c r="AC27" s="106"/>
      <c r="AD27" s="106"/>
      <c r="AE27" s="2"/>
      <c r="AF27" s="2"/>
    </row>
    <row r="28" spans="1:32" s="101" customFormat="1">
      <c r="A28" s="106">
        <v>27</v>
      </c>
      <c r="B28" s="83"/>
      <c r="C28" s="83"/>
      <c r="D28" s="220"/>
      <c r="E28" s="84"/>
      <c r="F28" s="221"/>
      <c r="G28" s="84"/>
      <c r="H28" s="84"/>
      <c r="I28" s="84"/>
      <c r="J28" s="84"/>
      <c r="K28" s="83"/>
      <c r="L28" s="121"/>
      <c r="M28" s="122"/>
      <c r="N28" s="183"/>
      <c r="O28" s="123"/>
      <c r="P28" s="123"/>
      <c r="Q28" s="124"/>
      <c r="R28" s="123"/>
      <c r="S28" s="123"/>
      <c r="T28" s="125"/>
      <c r="U28" s="125"/>
      <c r="V28" s="125"/>
      <c r="W28" s="83"/>
      <c r="X28" s="83"/>
      <c r="Y28" s="83"/>
      <c r="Z28" s="83"/>
      <c r="AA28" s="126"/>
      <c r="AB28" s="127"/>
      <c r="AC28" s="125"/>
      <c r="AD28" s="125"/>
      <c r="AE28" s="100"/>
      <c r="AF28" s="100"/>
    </row>
    <row r="29" spans="1:32" outlineLevel="1">
      <c r="A29" s="106">
        <v>28</v>
      </c>
      <c r="B29" s="73" t="s">
        <v>1639</v>
      </c>
      <c r="C29" s="73" t="s">
        <v>1603</v>
      </c>
      <c r="D29" s="216" t="s">
        <v>1640</v>
      </c>
      <c r="E29" s="75" t="s">
        <v>1641</v>
      </c>
      <c r="F29" s="218" t="s">
        <v>1642</v>
      </c>
      <c r="G29" s="75"/>
      <c r="H29" s="75"/>
      <c r="I29" s="75"/>
      <c r="J29" s="76"/>
      <c r="K29" s="77" t="s">
        <v>1592</v>
      </c>
      <c r="L29" s="107" t="s">
        <v>25</v>
      </c>
      <c r="M29" s="108"/>
      <c r="N29" s="181" t="s">
        <v>39</v>
      </c>
      <c r="O29" s="109" t="s">
        <v>24</v>
      </c>
      <c r="P29" s="109"/>
      <c r="Q29" s="110"/>
      <c r="R29" s="109"/>
      <c r="S29" s="109"/>
      <c r="T29" s="106"/>
      <c r="U29" s="106"/>
      <c r="V29" s="106"/>
      <c r="W29" s="73" t="s">
        <v>1557</v>
      </c>
      <c r="X29" s="73">
        <v>1</v>
      </c>
      <c r="Y29" s="73">
        <v>1</v>
      </c>
      <c r="Z29" s="73"/>
      <c r="AA29" s="111" t="s">
        <v>63</v>
      </c>
      <c r="AB29" s="118"/>
      <c r="AC29" s="106" t="s">
        <v>28</v>
      </c>
      <c r="AD29" s="106" t="s">
        <v>64</v>
      </c>
      <c r="AE29" s="2"/>
      <c r="AF29" s="2"/>
    </row>
    <row r="30" spans="1:32" outlineLevel="1">
      <c r="A30" s="106">
        <v>29</v>
      </c>
      <c r="B30" s="73" t="s">
        <v>1643</v>
      </c>
      <c r="C30" s="73"/>
      <c r="D30" s="216"/>
      <c r="E30" s="75" t="s">
        <v>1644</v>
      </c>
      <c r="F30" s="218"/>
      <c r="G30" s="75" t="s">
        <v>1645</v>
      </c>
      <c r="H30" s="75"/>
      <c r="I30" s="75"/>
      <c r="J30" s="76"/>
      <c r="K30" s="77" t="s">
        <v>1592</v>
      </c>
      <c r="L30" s="107" t="s">
        <v>25</v>
      </c>
      <c r="M30" s="108"/>
      <c r="N30" s="181" t="s">
        <v>39</v>
      </c>
      <c r="O30" s="109" t="s">
        <v>24</v>
      </c>
      <c r="P30" s="109"/>
      <c r="Q30" s="110"/>
      <c r="R30" s="109"/>
      <c r="S30" s="109"/>
      <c r="T30" s="106"/>
      <c r="U30" s="106"/>
      <c r="V30" s="106"/>
      <c r="W30" s="73" t="s">
        <v>2628</v>
      </c>
      <c r="X30" s="73">
        <v>1</v>
      </c>
      <c r="Y30" s="73">
        <v>1</v>
      </c>
      <c r="Z30" s="73"/>
      <c r="AA30" s="111" t="s">
        <v>65</v>
      </c>
      <c r="AB30" s="118"/>
      <c r="AC30" s="106" t="s">
        <v>28</v>
      </c>
      <c r="AD30" s="106" t="s">
        <v>64</v>
      </c>
      <c r="AE30" s="2"/>
      <c r="AF30" s="2"/>
    </row>
    <row r="31" spans="1:32" outlineLevel="1">
      <c r="A31" s="106">
        <v>30</v>
      </c>
      <c r="B31" s="73" t="s">
        <v>66</v>
      </c>
      <c r="C31" s="73"/>
      <c r="D31" s="216"/>
      <c r="E31" s="75" t="s">
        <v>1646</v>
      </c>
      <c r="F31" s="218"/>
      <c r="G31" s="75"/>
      <c r="H31" s="75" t="s">
        <v>1647</v>
      </c>
      <c r="I31" s="75"/>
      <c r="J31" s="76"/>
      <c r="K31" s="77" t="s">
        <v>1592</v>
      </c>
      <c r="L31" s="107" t="s">
        <v>25</v>
      </c>
      <c r="M31" s="108"/>
      <c r="N31" s="181"/>
      <c r="O31" s="119" t="s">
        <v>34</v>
      </c>
      <c r="P31" s="120">
        <v>46181</v>
      </c>
      <c r="Q31" s="172" t="s">
        <v>1559</v>
      </c>
      <c r="R31" s="109"/>
      <c r="S31" s="109"/>
      <c r="T31" s="106"/>
      <c r="U31" s="106"/>
      <c r="V31" s="106"/>
      <c r="W31" s="73" t="s">
        <v>1557</v>
      </c>
      <c r="X31" s="73">
        <v>1</v>
      </c>
      <c r="Y31" s="73">
        <v>1</v>
      </c>
      <c r="Z31" s="73"/>
      <c r="AA31" s="111" t="s">
        <v>67</v>
      </c>
      <c r="AB31" s="118"/>
      <c r="AC31" s="106" t="s">
        <v>28</v>
      </c>
      <c r="AD31" s="106" t="s">
        <v>64</v>
      </c>
      <c r="AE31" s="2"/>
      <c r="AF31" s="2"/>
    </row>
    <row r="32" spans="1:32" outlineLevel="1">
      <c r="A32" s="106">
        <v>31</v>
      </c>
      <c r="B32" s="73" t="s">
        <v>1648</v>
      </c>
      <c r="C32" s="73"/>
      <c r="D32" s="216"/>
      <c r="E32" s="75" t="s">
        <v>1649</v>
      </c>
      <c r="F32" s="218"/>
      <c r="G32" s="75"/>
      <c r="H32" s="75"/>
      <c r="I32" s="75" t="s">
        <v>1650</v>
      </c>
      <c r="J32" s="76"/>
      <c r="K32" s="77" t="s">
        <v>1592</v>
      </c>
      <c r="L32" s="107" t="s">
        <v>25</v>
      </c>
      <c r="M32" s="108"/>
      <c r="N32" s="181" t="s">
        <v>39</v>
      </c>
      <c r="O32" s="119" t="s">
        <v>34</v>
      </c>
      <c r="P32" s="120">
        <v>46181</v>
      </c>
      <c r="Q32" s="173" t="s">
        <v>1564</v>
      </c>
      <c r="R32" s="109"/>
      <c r="S32" s="109"/>
      <c r="T32" s="106"/>
      <c r="U32" s="106"/>
      <c r="V32" s="106"/>
      <c r="W32" s="73" t="s">
        <v>2628</v>
      </c>
      <c r="X32" s="73">
        <v>1</v>
      </c>
      <c r="Y32" s="73">
        <v>1</v>
      </c>
      <c r="Z32" s="73"/>
      <c r="AA32" s="112"/>
      <c r="AB32" s="118"/>
      <c r="AC32" s="106"/>
      <c r="AD32" s="106"/>
      <c r="AE32" s="2"/>
      <c r="AF32" s="2"/>
    </row>
    <row r="33" spans="1:32" outlineLevel="1">
      <c r="A33" s="106">
        <v>32</v>
      </c>
      <c r="B33" s="73" t="s">
        <v>1651</v>
      </c>
      <c r="C33" s="73"/>
      <c r="D33" s="216"/>
      <c r="E33" s="75" t="s">
        <v>1652</v>
      </c>
      <c r="F33" s="218"/>
      <c r="G33" s="75"/>
      <c r="H33" s="75"/>
      <c r="I33" s="75" t="s">
        <v>1653</v>
      </c>
      <c r="J33" s="76" t="s">
        <v>1654</v>
      </c>
      <c r="K33" s="77" t="s">
        <v>1592</v>
      </c>
      <c r="L33" s="107" t="s">
        <v>25</v>
      </c>
      <c r="M33" s="108"/>
      <c r="N33" s="181" t="s">
        <v>39</v>
      </c>
      <c r="O33" s="109" t="s">
        <v>24</v>
      </c>
      <c r="P33" s="109"/>
      <c r="Q33" s="110"/>
      <c r="R33" s="109"/>
      <c r="S33" s="109"/>
      <c r="T33" s="106"/>
      <c r="U33" s="106"/>
      <c r="V33" s="106"/>
      <c r="W33" s="73" t="s">
        <v>2625</v>
      </c>
      <c r="X33" s="73">
        <v>1</v>
      </c>
      <c r="Y33" s="73">
        <v>1</v>
      </c>
      <c r="Z33" s="73"/>
      <c r="AA33" s="111" t="s">
        <v>68</v>
      </c>
      <c r="AB33" s="118"/>
      <c r="AC33" s="106"/>
      <c r="AD33" s="106"/>
      <c r="AE33" s="2"/>
      <c r="AF33" s="2"/>
    </row>
    <row r="34" spans="1:32" outlineLevel="1">
      <c r="A34" s="106">
        <v>33</v>
      </c>
      <c r="B34" s="73" t="s">
        <v>1655</v>
      </c>
      <c r="C34" s="73"/>
      <c r="D34" s="216"/>
      <c r="E34" s="75" t="s">
        <v>1656</v>
      </c>
      <c r="F34" s="218"/>
      <c r="G34" s="75"/>
      <c r="H34" s="75" t="s">
        <v>1657</v>
      </c>
      <c r="I34" s="75"/>
      <c r="J34" s="76"/>
      <c r="K34" s="77" t="s">
        <v>1592</v>
      </c>
      <c r="L34" s="107" t="s">
        <v>25</v>
      </c>
      <c r="M34" s="108"/>
      <c r="N34" s="181" t="s">
        <v>39</v>
      </c>
      <c r="O34" s="109" t="s">
        <v>24</v>
      </c>
      <c r="P34" s="109"/>
      <c r="Q34" s="110"/>
      <c r="R34" s="109"/>
      <c r="S34" s="109"/>
      <c r="T34" s="106"/>
      <c r="U34" s="106"/>
      <c r="V34" s="106"/>
      <c r="W34" s="73" t="s">
        <v>2625</v>
      </c>
      <c r="X34" s="73">
        <v>1</v>
      </c>
      <c r="Y34" s="73">
        <v>1</v>
      </c>
      <c r="Z34" s="73"/>
      <c r="AA34" s="111" t="s">
        <v>69</v>
      </c>
      <c r="AB34" s="118"/>
      <c r="AC34" s="106" t="s">
        <v>28</v>
      </c>
      <c r="AD34" s="106" t="s">
        <v>64</v>
      </c>
      <c r="AE34" s="2"/>
      <c r="AF34" s="2"/>
    </row>
    <row r="35" spans="1:32" outlineLevel="1">
      <c r="A35" s="106">
        <v>34</v>
      </c>
      <c r="B35" s="73" t="s">
        <v>1658</v>
      </c>
      <c r="C35" s="73"/>
      <c r="D35" s="216"/>
      <c r="E35" s="75" t="s">
        <v>1659</v>
      </c>
      <c r="F35" s="218"/>
      <c r="G35" s="75"/>
      <c r="H35" s="75"/>
      <c r="I35" s="75" t="s">
        <v>1650</v>
      </c>
      <c r="J35" s="76"/>
      <c r="K35" s="77" t="s">
        <v>1592</v>
      </c>
      <c r="L35" s="107" t="s">
        <v>25</v>
      </c>
      <c r="M35" s="108"/>
      <c r="N35" s="181"/>
      <c r="O35" s="119" t="s">
        <v>34</v>
      </c>
      <c r="P35" s="120">
        <v>46181</v>
      </c>
      <c r="Q35" s="172" t="s">
        <v>1559</v>
      </c>
      <c r="R35" s="109"/>
      <c r="S35" s="109"/>
      <c r="T35" s="106"/>
      <c r="U35" s="106"/>
      <c r="V35" s="106"/>
      <c r="W35" s="73" t="s">
        <v>1557</v>
      </c>
      <c r="X35" s="73">
        <v>1</v>
      </c>
      <c r="Y35" s="73">
        <v>1</v>
      </c>
      <c r="Z35" s="73"/>
      <c r="AA35" s="112"/>
      <c r="AB35" s="118"/>
      <c r="AC35" s="106"/>
      <c r="AD35" s="106"/>
      <c r="AE35" s="2"/>
      <c r="AF35" s="2"/>
    </row>
    <row r="36" spans="1:32" outlineLevel="1">
      <c r="A36" s="106">
        <v>35</v>
      </c>
      <c r="B36" s="73" t="s">
        <v>1660</v>
      </c>
      <c r="C36" s="73"/>
      <c r="D36" s="216"/>
      <c r="E36" s="75" t="s">
        <v>1661</v>
      </c>
      <c r="F36" s="218"/>
      <c r="G36" s="75"/>
      <c r="H36" s="75"/>
      <c r="I36" s="75" t="s">
        <v>1662</v>
      </c>
      <c r="J36" s="76" t="s">
        <v>1663</v>
      </c>
      <c r="K36" s="77" t="s">
        <v>1592</v>
      </c>
      <c r="L36" s="107" t="s">
        <v>25</v>
      </c>
      <c r="M36" s="108"/>
      <c r="N36" s="181"/>
      <c r="O36" s="119" t="s">
        <v>34</v>
      </c>
      <c r="P36" s="120">
        <v>46181</v>
      </c>
      <c r="Q36" s="172" t="s">
        <v>1559</v>
      </c>
      <c r="R36" s="109"/>
      <c r="S36" s="109"/>
      <c r="T36" s="106"/>
      <c r="U36" s="106"/>
      <c r="V36" s="106"/>
      <c r="W36" s="73" t="s">
        <v>1557</v>
      </c>
      <c r="X36" s="73">
        <v>1</v>
      </c>
      <c r="Y36" s="73">
        <v>1</v>
      </c>
      <c r="Z36" s="73"/>
      <c r="AA36" s="111" t="s">
        <v>70</v>
      </c>
      <c r="AB36" s="118"/>
      <c r="AC36" s="106"/>
      <c r="AD36" s="106"/>
      <c r="AE36" s="2"/>
      <c r="AF36" s="2"/>
    </row>
    <row r="37" spans="1:32" outlineLevel="1">
      <c r="A37" s="106">
        <v>36</v>
      </c>
      <c r="B37" s="73" t="s">
        <v>1664</v>
      </c>
      <c r="C37" s="73"/>
      <c r="D37" s="216"/>
      <c r="E37" s="75" t="s">
        <v>1665</v>
      </c>
      <c r="F37" s="218"/>
      <c r="G37" s="75"/>
      <c r="H37" s="75" t="s">
        <v>1666</v>
      </c>
      <c r="I37" s="75"/>
      <c r="J37" s="76"/>
      <c r="K37" s="77" t="s">
        <v>1592</v>
      </c>
      <c r="L37" s="107" t="s">
        <v>25</v>
      </c>
      <c r="M37" s="108"/>
      <c r="N37" s="181" t="s">
        <v>39</v>
      </c>
      <c r="O37" s="109" t="s">
        <v>24</v>
      </c>
      <c r="P37" s="109"/>
      <c r="Q37" s="110"/>
      <c r="R37" s="109"/>
      <c r="S37" s="109"/>
      <c r="T37" s="106"/>
      <c r="U37" s="106"/>
      <c r="V37" s="106"/>
      <c r="W37" s="73" t="s">
        <v>1557</v>
      </c>
      <c r="X37" s="73">
        <v>1</v>
      </c>
      <c r="Y37" s="73">
        <v>1</v>
      </c>
      <c r="Z37" s="73"/>
      <c r="AA37" s="111" t="s">
        <v>71</v>
      </c>
      <c r="AB37" s="128" t="s">
        <v>72</v>
      </c>
      <c r="AC37" s="106"/>
      <c r="AD37" s="106"/>
      <c r="AE37" s="2"/>
      <c r="AF37" s="2"/>
    </row>
    <row r="38" spans="1:32" outlineLevel="1">
      <c r="A38" s="106">
        <v>37</v>
      </c>
      <c r="B38" s="73" t="s">
        <v>1667</v>
      </c>
      <c r="C38" s="73"/>
      <c r="D38" s="216"/>
      <c r="E38" s="75" t="s">
        <v>1668</v>
      </c>
      <c r="F38" s="218"/>
      <c r="G38" s="75" t="s">
        <v>1669</v>
      </c>
      <c r="H38" s="75"/>
      <c r="I38" s="75"/>
      <c r="J38" s="76" t="s">
        <v>1670</v>
      </c>
      <c r="K38" s="77" t="s">
        <v>1592</v>
      </c>
      <c r="L38" s="107"/>
      <c r="M38" s="108"/>
      <c r="N38" s="181"/>
      <c r="O38" s="119" t="s">
        <v>34</v>
      </c>
      <c r="P38" s="120">
        <v>46181</v>
      </c>
      <c r="Q38" s="172" t="s">
        <v>1559</v>
      </c>
      <c r="R38" s="109"/>
      <c r="S38" s="109"/>
      <c r="T38" s="106"/>
      <c r="U38" s="106"/>
      <c r="V38" s="106"/>
      <c r="W38" s="73" t="s">
        <v>1558</v>
      </c>
      <c r="X38" s="73"/>
      <c r="Y38" s="73">
        <v>1</v>
      </c>
      <c r="Z38" s="73">
        <v>1</v>
      </c>
      <c r="AA38" s="111" t="s">
        <v>73</v>
      </c>
      <c r="AB38" s="118"/>
      <c r="AC38" s="106" t="s">
        <v>28</v>
      </c>
      <c r="AD38" s="106" t="s">
        <v>64</v>
      </c>
      <c r="AE38" s="2"/>
      <c r="AF38" s="2"/>
    </row>
    <row r="39" spans="1:32" outlineLevel="1">
      <c r="A39" s="106">
        <v>38</v>
      </c>
      <c r="B39" s="73" t="s">
        <v>1671</v>
      </c>
      <c r="C39" s="73"/>
      <c r="D39" s="216"/>
      <c r="E39" s="75" t="s">
        <v>1672</v>
      </c>
      <c r="F39" s="218"/>
      <c r="G39" s="75" t="s">
        <v>1673</v>
      </c>
      <c r="H39" s="75"/>
      <c r="I39" s="75"/>
      <c r="J39" s="76" t="s">
        <v>1670</v>
      </c>
      <c r="K39" s="77" t="s">
        <v>1592</v>
      </c>
      <c r="L39" s="107"/>
      <c r="M39" s="108"/>
      <c r="N39" s="181"/>
      <c r="O39" s="119" t="s">
        <v>34</v>
      </c>
      <c r="P39" s="120">
        <v>46181</v>
      </c>
      <c r="Q39" s="172" t="s">
        <v>1559</v>
      </c>
      <c r="R39" s="109"/>
      <c r="S39" s="109"/>
      <c r="T39" s="106"/>
      <c r="U39" s="106"/>
      <c r="V39" s="106"/>
      <c r="W39" s="73" t="s">
        <v>1558</v>
      </c>
      <c r="X39" s="73"/>
      <c r="Y39" s="73">
        <v>1</v>
      </c>
      <c r="Z39" s="73">
        <v>1</v>
      </c>
      <c r="AA39" s="111" t="s">
        <v>74</v>
      </c>
      <c r="AB39" s="118"/>
      <c r="AC39" s="106" t="s">
        <v>28</v>
      </c>
      <c r="AD39" s="106" t="s">
        <v>64</v>
      </c>
      <c r="AE39" s="2"/>
      <c r="AF39" s="2"/>
    </row>
    <row r="40" spans="1:32" outlineLevel="1">
      <c r="A40" s="106">
        <v>39</v>
      </c>
      <c r="B40" s="73" t="s">
        <v>1674</v>
      </c>
      <c r="C40" s="73"/>
      <c r="D40" s="216"/>
      <c r="E40" s="75" t="s">
        <v>1675</v>
      </c>
      <c r="F40" s="218"/>
      <c r="G40" s="75" t="s">
        <v>1676</v>
      </c>
      <c r="H40" s="75"/>
      <c r="I40" s="75"/>
      <c r="J40" s="76" t="s">
        <v>1670</v>
      </c>
      <c r="K40" s="77" t="s">
        <v>1592</v>
      </c>
      <c r="L40" s="107"/>
      <c r="M40" s="108"/>
      <c r="N40" s="181"/>
      <c r="O40" s="119" t="s">
        <v>34</v>
      </c>
      <c r="P40" s="120">
        <v>46181</v>
      </c>
      <c r="Q40" s="172" t="s">
        <v>1559</v>
      </c>
      <c r="R40" s="109"/>
      <c r="S40" s="109"/>
      <c r="T40" s="106"/>
      <c r="U40" s="106"/>
      <c r="V40" s="106"/>
      <c r="W40" s="73" t="s">
        <v>2627</v>
      </c>
      <c r="X40" s="73"/>
      <c r="Y40" s="73">
        <v>1</v>
      </c>
      <c r="Z40" s="73">
        <v>1</v>
      </c>
      <c r="AA40" s="111" t="s">
        <v>75</v>
      </c>
      <c r="AB40" s="118"/>
      <c r="AC40" s="106" t="s">
        <v>28</v>
      </c>
      <c r="AD40" s="106" t="s">
        <v>64</v>
      </c>
      <c r="AE40" s="2"/>
      <c r="AF40" s="2"/>
    </row>
    <row r="41" spans="1:32" outlineLevel="1">
      <c r="A41" s="106">
        <v>40</v>
      </c>
      <c r="B41" s="73" t="s">
        <v>1677</v>
      </c>
      <c r="C41" s="73"/>
      <c r="D41" s="216"/>
      <c r="E41" s="75" t="s">
        <v>1678</v>
      </c>
      <c r="F41" s="218"/>
      <c r="G41" s="75" t="s">
        <v>1679</v>
      </c>
      <c r="H41" s="75"/>
      <c r="I41" s="75"/>
      <c r="J41" s="76" t="s">
        <v>1680</v>
      </c>
      <c r="K41" s="77" t="s">
        <v>1592</v>
      </c>
      <c r="L41" s="107"/>
      <c r="M41" s="108"/>
      <c r="N41" s="181"/>
      <c r="O41" s="119" t="s">
        <v>34</v>
      </c>
      <c r="P41" s="120">
        <v>46181</v>
      </c>
      <c r="Q41" s="172" t="s">
        <v>1559</v>
      </c>
      <c r="R41" s="109"/>
      <c r="S41" s="109"/>
      <c r="T41" s="106"/>
      <c r="U41" s="106"/>
      <c r="V41" s="106"/>
      <c r="W41" s="73" t="s">
        <v>1558</v>
      </c>
      <c r="X41" s="73"/>
      <c r="Y41" s="73">
        <v>1</v>
      </c>
      <c r="Z41" s="73">
        <v>1</v>
      </c>
      <c r="AA41" s="111" t="s">
        <v>76</v>
      </c>
      <c r="AB41" s="118"/>
      <c r="AC41" s="106" t="s">
        <v>77</v>
      </c>
      <c r="AD41" s="106" t="s">
        <v>78</v>
      </c>
      <c r="AE41" s="2"/>
      <c r="AF41" s="2"/>
    </row>
    <row r="42" spans="1:32" outlineLevel="1">
      <c r="A42" s="106">
        <v>41</v>
      </c>
      <c r="B42" s="73" t="s">
        <v>1681</v>
      </c>
      <c r="C42" s="73"/>
      <c r="D42" s="216"/>
      <c r="E42" s="75" t="s">
        <v>1682</v>
      </c>
      <c r="F42" s="218"/>
      <c r="G42" s="75" t="s">
        <v>1683</v>
      </c>
      <c r="H42" s="75"/>
      <c r="I42" s="75"/>
      <c r="J42" s="76" t="s">
        <v>1684</v>
      </c>
      <c r="K42" s="77" t="s">
        <v>1592</v>
      </c>
      <c r="L42" s="107" t="s">
        <v>25</v>
      </c>
      <c r="M42" s="108"/>
      <c r="N42" s="181"/>
      <c r="O42" s="119" t="s">
        <v>34</v>
      </c>
      <c r="P42" s="120">
        <v>46181</v>
      </c>
      <c r="Q42" s="172" t="s">
        <v>1559</v>
      </c>
      <c r="R42" s="109"/>
      <c r="S42" s="109"/>
      <c r="T42" s="106"/>
      <c r="U42" s="106"/>
      <c r="V42" s="106"/>
      <c r="W42" s="73" t="s">
        <v>2625</v>
      </c>
      <c r="X42" s="73">
        <v>1</v>
      </c>
      <c r="Y42" s="73">
        <v>1</v>
      </c>
      <c r="Z42" s="73"/>
      <c r="AA42" s="111" t="s">
        <v>79</v>
      </c>
      <c r="AB42" s="118"/>
      <c r="AC42" s="106" t="s">
        <v>28</v>
      </c>
      <c r="AD42" s="106" t="s">
        <v>64</v>
      </c>
      <c r="AE42" s="2"/>
      <c r="AF42" s="2"/>
    </row>
    <row r="43" spans="1:32" outlineLevel="1">
      <c r="A43" s="106">
        <v>42</v>
      </c>
      <c r="B43" s="73" t="s">
        <v>1685</v>
      </c>
      <c r="C43" s="73"/>
      <c r="D43" s="216"/>
      <c r="E43" s="75" t="s">
        <v>1686</v>
      </c>
      <c r="F43" s="218"/>
      <c r="G43" s="75"/>
      <c r="H43" s="75" t="s">
        <v>1687</v>
      </c>
      <c r="I43" s="75"/>
      <c r="J43" s="76"/>
      <c r="K43" s="77" t="s">
        <v>1592</v>
      </c>
      <c r="L43" s="107" t="s">
        <v>25</v>
      </c>
      <c r="M43" s="108"/>
      <c r="N43" s="181"/>
      <c r="O43" s="119" t="s">
        <v>34</v>
      </c>
      <c r="P43" s="120">
        <v>46181</v>
      </c>
      <c r="Q43" s="172" t="s">
        <v>1559</v>
      </c>
      <c r="R43" s="109"/>
      <c r="S43" s="109"/>
      <c r="T43" s="106"/>
      <c r="U43" s="106"/>
      <c r="V43" s="106"/>
      <c r="W43" s="73" t="s">
        <v>1557</v>
      </c>
      <c r="X43" s="73">
        <v>1</v>
      </c>
      <c r="Y43" s="73">
        <v>2</v>
      </c>
      <c r="Z43" s="73"/>
      <c r="AA43" s="111" t="s">
        <v>80</v>
      </c>
      <c r="AB43" s="118"/>
      <c r="AC43" s="106" t="s">
        <v>28</v>
      </c>
      <c r="AD43" s="106" t="s">
        <v>64</v>
      </c>
      <c r="AE43" s="2"/>
      <c r="AF43" s="2"/>
    </row>
    <row r="44" spans="1:32" outlineLevel="1">
      <c r="A44" s="106">
        <v>43</v>
      </c>
      <c r="B44" s="73" t="s">
        <v>1688</v>
      </c>
      <c r="C44" s="73"/>
      <c r="D44" s="216"/>
      <c r="E44" s="75" t="s">
        <v>1689</v>
      </c>
      <c r="F44" s="218"/>
      <c r="G44" s="75" t="s">
        <v>1690</v>
      </c>
      <c r="H44" s="75"/>
      <c r="I44" s="75"/>
      <c r="J44" s="76"/>
      <c r="K44" s="77" t="s">
        <v>1592</v>
      </c>
      <c r="L44" s="107"/>
      <c r="M44" s="108"/>
      <c r="N44" s="181"/>
      <c r="O44" s="119" t="s">
        <v>34</v>
      </c>
      <c r="P44" s="120">
        <v>46181</v>
      </c>
      <c r="Q44" s="172" t="s">
        <v>1559</v>
      </c>
      <c r="R44" s="109"/>
      <c r="S44" s="109"/>
      <c r="T44" s="106"/>
      <c r="U44" s="106"/>
      <c r="V44" s="106"/>
      <c r="W44" s="73" t="s">
        <v>2627</v>
      </c>
      <c r="X44" s="73"/>
      <c r="Y44" s="73">
        <v>1</v>
      </c>
      <c r="Z44" s="73">
        <v>1</v>
      </c>
      <c r="AA44" s="111" t="s">
        <v>81</v>
      </c>
      <c r="AB44" s="118"/>
      <c r="AC44" s="106"/>
      <c r="AD44" s="106"/>
      <c r="AE44" s="2"/>
      <c r="AF44" s="2"/>
    </row>
    <row r="45" spans="1:32" outlineLevel="1">
      <c r="A45" s="106">
        <v>44</v>
      </c>
      <c r="B45" s="73" t="s">
        <v>1691</v>
      </c>
      <c r="C45" s="73"/>
      <c r="D45" s="216"/>
      <c r="E45" s="75" t="s">
        <v>1692</v>
      </c>
      <c r="F45" s="218" t="s">
        <v>1693</v>
      </c>
      <c r="G45" s="75"/>
      <c r="H45" s="75"/>
      <c r="I45" s="75"/>
      <c r="J45" s="76" t="s">
        <v>1694</v>
      </c>
      <c r="K45" s="77" t="s">
        <v>1592</v>
      </c>
      <c r="L45" s="107" t="s">
        <v>25</v>
      </c>
      <c r="M45" s="108"/>
      <c r="N45" s="181"/>
      <c r="O45" s="119" t="s">
        <v>34</v>
      </c>
      <c r="P45" s="120">
        <v>46181</v>
      </c>
      <c r="Q45" s="172" t="s">
        <v>1559</v>
      </c>
      <c r="R45" s="109"/>
      <c r="S45" s="109"/>
      <c r="T45" s="106"/>
      <c r="U45" s="106"/>
      <c r="V45" s="106"/>
      <c r="W45" s="73" t="s">
        <v>2628</v>
      </c>
      <c r="X45" s="73">
        <v>1</v>
      </c>
      <c r="Y45" s="73">
        <v>1</v>
      </c>
      <c r="Z45" s="73"/>
      <c r="AA45" s="111" t="s">
        <v>84</v>
      </c>
      <c r="AB45" s="118"/>
      <c r="AC45" s="106" t="s">
        <v>28</v>
      </c>
      <c r="AD45" s="106" t="s">
        <v>85</v>
      </c>
      <c r="AE45" s="2"/>
      <c r="AF45" s="2"/>
    </row>
    <row r="46" spans="1:32" outlineLevel="1">
      <c r="A46" s="106">
        <v>45</v>
      </c>
      <c r="B46" s="73" t="s">
        <v>1695</v>
      </c>
      <c r="C46" s="73"/>
      <c r="D46" s="216"/>
      <c r="E46" s="75" t="s">
        <v>1696</v>
      </c>
      <c r="F46" s="218"/>
      <c r="G46" s="75" t="s">
        <v>1697</v>
      </c>
      <c r="H46" s="75"/>
      <c r="I46" s="75"/>
      <c r="J46" s="76"/>
      <c r="K46" s="77" t="s">
        <v>1592</v>
      </c>
      <c r="L46" s="107"/>
      <c r="M46" s="108"/>
      <c r="N46" s="181"/>
      <c r="O46" s="119" t="s">
        <v>34</v>
      </c>
      <c r="P46" s="120">
        <v>46181</v>
      </c>
      <c r="Q46" s="172" t="s">
        <v>1559</v>
      </c>
      <c r="R46" s="109"/>
      <c r="S46" s="109"/>
      <c r="T46" s="106"/>
      <c r="U46" s="106"/>
      <c r="V46" s="106"/>
      <c r="W46" s="73" t="s">
        <v>1558</v>
      </c>
      <c r="X46" s="73"/>
      <c r="Y46" s="73">
        <v>1</v>
      </c>
      <c r="Z46" s="73">
        <v>1</v>
      </c>
      <c r="AA46" s="111" t="s">
        <v>86</v>
      </c>
      <c r="AB46" s="118"/>
      <c r="AC46" s="106"/>
      <c r="AD46" s="106"/>
      <c r="AE46" s="2"/>
      <c r="AF46" s="2"/>
    </row>
    <row r="47" spans="1:32" outlineLevel="1">
      <c r="A47" s="106">
        <v>46</v>
      </c>
      <c r="B47" s="73" t="s">
        <v>1698</v>
      </c>
      <c r="C47" s="74" t="s">
        <v>1699</v>
      </c>
      <c r="D47" s="216"/>
      <c r="E47" s="75" t="s">
        <v>1700</v>
      </c>
      <c r="F47" s="218"/>
      <c r="G47" s="75" t="s">
        <v>1701</v>
      </c>
      <c r="H47" s="75"/>
      <c r="I47" s="75"/>
      <c r="J47" s="76"/>
      <c r="K47" s="77" t="s">
        <v>1592</v>
      </c>
      <c r="L47" s="107"/>
      <c r="M47" s="108"/>
      <c r="N47" s="181"/>
      <c r="O47" s="119" t="s">
        <v>34</v>
      </c>
      <c r="P47" s="120">
        <v>46181</v>
      </c>
      <c r="Q47" s="172" t="s">
        <v>1559</v>
      </c>
      <c r="R47" s="109"/>
      <c r="S47" s="109"/>
      <c r="T47" s="106"/>
      <c r="U47" s="106"/>
      <c r="V47" s="106"/>
      <c r="W47" s="73" t="s">
        <v>2627</v>
      </c>
      <c r="X47" s="73"/>
      <c r="Y47" s="73">
        <v>1</v>
      </c>
      <c r="Z47" s="73">
        <v>1</v>
      </c>
      <c r="AA47" s="111" t="s">
        <v>87</v>
      </c>
      <c r="AB47" s="118"/>
      <c r="AC47" s="106"/>
      <c r="AD47" s="106"/>
      <c r="AE47" s="2"/>
      <c r="AF47" s="2"/>
    </row>
    <row r="48" spans="1:32" s="101" customFormat="1">
      <c r="A48" s="106">
        <v>47</v>
      </c>
      <c r="B48" s="83"/>
      <c r="C48" s="83"/>
      <c r="D48" s="220"/>
      <c r="E48" s="84"/>
      <c r="F48" s="221"/>
      <c r="G48" s="84"/>
      <c r="H48" s="84"/>
      <c r="I48" s="84"/>
      <c r="J48" s="84"/>
      <c r="K48" s="83"/>
      <c r="L48" s="121"/>
      <c r="M48" s="122"/>
      <c r="N48" s="183"/>
      <c r="O48" s="123"/>
      <c r="P48" s="123"/>
      <c r="Q48" s="124"/>
      <c r="R48" s="123"/>
      <c r="S48" s="123"/>
      <c r="T48" s="125"/>
      <c r="U48" s="125"/>
      <c r="V48" s="125"/>
      <c r="W48" s="83"/>
      <c r="X48" s="83"/>
      <c r="Y48" s="83"/>
      <c r="Z48" s="83"/>
      <c r="AA48" s="126"/>
      <c r="AB48" s="127"/>
      <c r="AC48" s="125"/>
      <c r="AD48" s="125"/>
      <c r="AE48" s="100"/>
      <c r="AF48" s="100"/>
    </row>
    <row r="49" spans="1:32" ht="33.75" outlineLevel="1">
      <c r="A49" s="106">
        <v>48</v>
      </c>
      <c r="B49" s="73" t="s">
        <v>1702</v>
      </c>
      <c r="C49" s="85" t="s">
        <v>1603</v>
      </c>
      <c r="D49" s="216" t="s">
        <v>1703</v>
      </c>
      <c r="E49" s="75" t="s">
        <v>1704</v>
      </c>
      <c r="F49" s="218" t="s">
        <v>1703</v>
      </c>
      <c r="G49" s="75"/>
      <c r="H49" s="75"/>
      <c r="I49" s="75"/>
      <c r="J49" s="76"/>
      <c r="K49" s="77" t="s">
        <v>1592</v>
      </c>
      <c r="L49" s="107" t="s">
        <v>25</v>
      </c>
      <c r="M49" s="108"/>
      <c r="N49" s="181" t="s">
        <v>39</v>
      </c>
      <c r="O49" s="119" t="s">
        <v>34</v>
      </c>
      <c r="P49" s="120">
        <v>46181</v>
      </c>
      <c r="Q49" s="174" t="s">
        <v>1578</v>
      </c>
      <c r="R49" s="109"/>
      <c r="S49" s="109"/>
      <c r="T49" s="106"/>
      <c r="U49" s="106"/>
      <c r="V49" s="106"/>
      <c r="W49" s="73" t="s">
        <v>2628</v>
      </c>
      <c r="X49" s="73">
        <v>1</v>
      </c>
      <c r="Y49" s="73">
        <v>1</v>
      </c>
      <c r="Z49" s="73"/>
      <c r="AA49" s="111" t="s">
        <v>88</v>
      </c>
      <c r="AB49" s="129"/>
      <c r="AC49" s="106" t="s">
        <v>89</v>
      </c>
      <c r="AD49" s="106" t="s">
        <v>90</v>
      </c>
      <c r="AE49" s="2"/>
      <c r="AF49" s="2"/>
    </row>
    <row r="50" spans="1:32" outlineLevel="1">
      <c r="A50" s="106">
        <v>49</v>
      </c>
      <c r="B50" s="73"/>
      <c r="C50" s="85"/>
      <c r="D50" s="216"/>
      <c r="E50" s="75"/>
      <c r="F50" s="218"/>
      <c r="G50" s="75"/>
      <c r="H50" s="75"/>
      <c r="I50" s="75"/>
      <c r="J50" s="76" t="s">
        <v>1705</v>
      </c>
      <c r="K50" s="73"/>
      <c r="L50" s="113"/>
      <c r="M50" s="114"/>
      <c r="N50" s="182"/>
      <c r="O50" s="115"/>
      <c r="P50" s="115"/>
      <c r="Q50" s="116"/>
      <c r="R50" s="115"/>
      <c r="S50" s="115"/>
      <c r="T50" s="106"/>
      <c r="U50" s="106"/>
      <c r="V50" s="106"/>
      <c r="W50" s="73"/>
      <c r="X50" s="73"/>
      <c r="Y50" s="73"/>
      <c r="Z50" s="73"/>
      <c r="AA50" s="111" t="s">
        <v>91</v>
      </c>
      <c r="AB50" s="129"/>
      <c r="AC50" s="106" t="s">
        <v>89</v>
      </c>
      <c r="AD50" s="106" t="s">
        <v>90</v>
      </c>
      <c r="AE50" s="2"/>
      <c r="AF50" s="2"/>
    </row>
    <row r="51" spans="1:32" outlineLevel="1">
      <c r="A51" s="106">
        <v>50</v>
      </c>
      <c r="B51" s="73" t="s">
        <v>1706</v>
      </c>
      <c r="C51" s="73"/>
      <c r="D51" s="216"/>
      <c r="E51" s="75" t="s">
        <v>1707</v>
      </c>
      <c r="F51" s="218"/>
      <c r="G51" s="75" t="s">
        <v>1708</v>
      </c>
      <c r="H51" s="75"/>
      <c r="I51" s="75"/>
      <c r="J51" s="76"/>
      <c r="K51" s="77" t="s">
        <v>1592</v>
      </c>
      <c r="L51" s="107"/>
      <c r="M51" s="108"/>
      <c r="N51" s="181"/>
      <c r="O51" s="119" t="s">
        <v>34</v>
      </c>
      <c r="P51" s="120">
        <v>46181</v>
      </c>
      <c r="Q51" s="173" t="s">
        <v>1565</v>
      </c>
      <c r="R51" s="109"/>
      <c r="S51" s="109"/>
      <c r="T51" s="106"/>
      <c r="U51" s="106"/>
      <c r="V51" s="106"/>
      <c r="W51" s="73" t="s">
        <v>1557</v>
      </c>
      <c r="X51" s="73">
        <v>1</v>
      </c>
      <c r="Y51" s="73">
        <v>1</v>
      </c>
      <c r="Z51" s="73"/>
      <c r="AA51" s="111" t="s">
        <v>92</v>
      </c>
      <c r="AB51" s="118"/>
      <c r="AC51" s="106" t="s">
        <v>93</v>
      </c>
      <c r="AD51" s="106" t="s">
        <v>94</v>
      </c>
      <c r="AE51" s="2"/>
      <c r="AF51" s="2"/>
    </row>
    <row r="52" spans="1:32" outlineLevel="1">
      <c r="A52" s="106">
        <v>51</v>
      </c>
      <c r="B52" s="73"/>
      <c r="C52" s="73"/>
      <c r="D52" s="216"/>
      <c r="E52" s="75" t="s">
        <v>1709</v>
      </c>
      <c r="F52" s="218"/>
      <c r="G52" s="75"/>
      <c r="H52" s="75" t="s">
        <v>1710</v>
      </c>
      <c r="I52" s="75"/>
      <c r="J52" s="76"/>
      <c r="K52" s="73"/>
      <c r="L52" s="113"/>
      <c r="M52" s="114"/>
      <c r="N52" s="182"/>
      <c r="O52" s="115"/>
      <c r="P52" s="115"/>
      <c r="Q52" s="116"/>
      <c r="R52" s="115"/>
      <c r="S52" s="115"/>
      <c r="T52" s="106"/>
      <c r="U52" s="106"/>
      <c r="V52" s="106"/>
      <c r="W52" s="73"/>
      <c r="X52" s="73"/>
      <c r="Y52" s="73"/>
      <c r="Z52" s="73"/>
      <c r="AA52" s="112"/>
      <c r="AB52" s="118"/>
      <c r="AC52" s="106"/>
      <c r="AD52" s="106"/>
      <c r="AE52" s="2"/>
      <c r="AF52" s="2"/>
    </row>
    <row r="53" spans="1:32" outlineLevel="1">
      <c r="A53" s="106">
        <v>52</v>
      </c>
      <c r="B53" s="73" t="s">
        <v>1711</v>
      </c>
      <c r="C53" s="73"/>
      <c r="D53" s="216"/>
      <c r="E53" s="75" t="s">
        <v>1712</v>
      </c>
      <c r="F53" s="218"/>
      <c r="G53" s="75"/>
      <c r="H53" s="75" t="s">
        <v>1713</v>
      </c>
      <c r="I53" s="75"/>
      <c r="J53" s="76"/>
      <c r="K53" s="77" t="s">
        <v>1592</v>
      </c>
      <c r="L53" s="107"/>
      <c r="M53" s="108"/>
      <c r="N53" s="181">
        <v>46174</v>
      </c>
      <c r="O53" s="119" t="s">
        <v>34</v>
      </c>
      <c r="P53" s="120">
        <v>46181</v>
      </c>
      <c r="Q53" s="173" t="s">
        <v>1565</v>
      </c>
      <c r="R53" s="109"/>
      <c r="S53" s="109"/>
      <c r="T53" s="106"/>
      <c r="U53" s="106"/>
      <c r="V53" s="106"/>
      <c r="W53" s="73" t="s">
        <v>2627</v>
      </c>
      <c r="X53" s="73"/>
      <c r="Y53" s="73">
        <v>1</v>
      </c>
      <c r="Z53" s="73">
        <v>1</v>
      </c>
      <c r="AA53" s="111" t="s">
        <v>95</v>
      </c>
      <c r="AB53" s="118"/>
      <c r="AC53" s="106"/>
      <c r="AD53" s="106"/>
      <c r="AE53" s="2"/>
      <c r="AF53" s="2"/>
    </row>
    <row r="54" spans="1:32" outlineLevel="1">
      <c r="A54" s="106">
        <v>53</v>
      </c>
      <c r="B54" s="73" t="s">
        <v>1714</v>
      </c>
      <c r="C54" s="73"/>
      <c r="D54" s="216"/>
      <c r="E54" s="75" t="s">
        <v>1715</v>
      </c>
      <c r="F54" s="218"/>
      <c r="G54" s="75" t="s">
        <v>1716</v>
      </c>
      <c r="H54" s="75"/>
      <c r="I54" s="75"/>
      <c r="J54" s="76"/>
      <c r="K54" s="77" t="s">
        <v>1592</v>
      </c>
      <c r="L54" s="107"/>
      <c r="M54" s="108"/>
      <c r="N54" s="181"/>
      <c r="O54" s="119" t="s">
        <v>34</v>
      </c>
      <c r="P54" s="120">
        <v>46181</v>
      </c>
      <c r="Q54" s="173" t="s">
        <v>1565</v>
      </c>
      <c r="R54" s="109"/>
      <c r="S54" s="109"/>
      <c r="T54" s="106"/>
      <c r="U54" s="106"/>
      <c r="V54" s="106"/>
      <c r="W54" s="73" t="s">
        <v>1557</v>
      </c>
      <c r="X54" s="73">
        <v>1</v>
      </c>
      <c r="Y54" s="73">
        <v>1</v>
      </c>
      <c r="Z54" s="73"/>
      <c r="AA54" s="111" t="s">
        <v>96</v>
      </c>
      <c r="AB54" s="118"/>
      <c r="AC54" s="106" t="s">
        <v>89</v>
      </c>
      <c r="AD54" s="106" t="s">
        <v>59</v>
      </c>
      <c r="AE54" s="2"/>
      <c r="AF54" s="2"/>
    </row>
    <row r="55" spans="1:32" outlineLevel="1">
      <c r="A55" s="106">
        <v>54</v>
      </c>
      <c r="B55" s="73"/>
      <c r="C55" s="73"/>
      <c r="D55" s="216"/>
      <c r="E55" s="75" t="s">
        <v>1717</v>
      </c>
      <c r="F55" s="218"/>
      <c r="G55" s="75"/>
      <c r="H55" s="75" t="s">
        <v>1710</v>
      </c>
      <c r="I55" s="75"/>
      <c r="J55" s="76"/>
      <c r="K55" s="73"/>
      <c r="L55" s="113"/>
      <c r="M55" s="114"/>
      <c r="N55" s="182"/>
      <c r="O55" s="115"/>
      <c r="P55" s="115"/>
      <c r="Q55" s="116"/>
      <c r="R55" s="115"/>
      <c r="S55" s="115"/>
      <c r="T55" s="106"/>
      <c r="U55" s="106"/>
      <c r="V55" s="106"/>
      <c r="W55" s="73"/>
      <c r="X55" s="73"/>
      <c r="Y55" s="73"/>
      <c r="Z55" s="73"/>
      <c r="AA55" s="112"/>
      <c r="AB55" s="118"/>
      <c r="AC55" s="106"/>
      <c r="AD55" s="106"/>
      <c r="AE55" s="2"/>
      <c r="AF55" s="2"/>
    </row>
    <row r="56" spans="1:32" outlineLevel="1">
      <c r="A56" s="106">
        <v>55</v>
      </c>
      <c r="B56" s="74" t="s">
        <v>1718</v>
      </c>
      <c r="C56" s="74" t="s">
        <v>1719</v>
      </c>
      <c r="D56" s="216" t="s">
        <v>1720</v>
      </c>
      <c r="E56" s="75" t="s">
        <v>1721</v>
      </c>
      <c r="F56" s="218" t="s">
        <v>1703</v>
      </c>
      <c r="G56" s="75" t="s">
        <v>1722</v>
      </c>
      <c r="H56" s="75"/>
      <c r="I56" s="75"/>
      <c r="J56" s="76"/>
      <c r="K56" s="73"/>
      <c r="L56" s="113"/>
      <c r="M56" s="114"/>
      <c r="N56" s="182"/>
      <c r="O56" s="115"/>
      <c r="P56" s="115"/>
      <c r="Q56" s="116"/>
      <c r="R56" s="115"/>
      <c r="S56" s="115"/>
      <c r="T56" s="106"/>
      <c r="U56" s="106"/>
      <c r="V56" s="106"/>
      <c r="W56" s="73"/>
      <c r="X56" s="73"/>
      <c r="Y56" s="73"/>
      <c r="Z56" s="73"/>
      <c r="AA56" s="111" t="s">
        <v>97</v>
      </c>
      <c r="AB56" s="129"/>
      <c r="AC56" s="106"/>
      <c r="AD56" s="106"/>
      <c r="AE56" s="2"/>
      <c r="AF56" s="2"/>
    </row>
    <row r="57" spans="1:32" ht="24" outlineLevel="1">
      <c r="A57" s="106">
        <v>56</v>
      </c>
      <c r="B57" s="73"/>
      <c r="C57" s="73"/>
      <c r="D57" s="216"/>
      <c r="E57" s="75" t="s">
        <v>1723</v>
      </c>
      <c r="F57" s="218"/>
      <c r="G57" s="75"/>
      <c r="H57" s="75" t="s">
        <v>1724</v>
      </c>
      <c r="I57" s="75"/>
      <c r="J57" s="76"/>
      <c r="K57" s="73"/>
      <c r="L57" s="113"/>
      <c r="M57" s="114"/>
      <c r="N57" s="182"/>
      <c r="O57" s="115"/>
      <c r="P57" s="115"/>
      <c r="Q57" s="116"/>
      <c r="R57" s="115"/>
      <c r="S57" s="115"/>
      <c r="T57" s="106"/>
      <c r="U57" s="106"/>
      <c r="V57" s="106"/>
      <c r="W57" s="73"/>
      <c r="X57" s="73"/>
      <c r="Y57" s="73"/>
      <c r="Z57" s="73"/>
      <c r="AA57" s="112"/>
      <c r="AB57" s="129"/>
      <c r="AC57" s="106"/>
      <c r="AD57" s="106"/>
      <c r="AE57" s="2"/>
      <c r="AF57" s="2"/>
    </row>
    <row r="58" spans="1:32" ht="24" outlineLevel="1">
      <c r="A58" s="106">
        <v>57</v>
      </c>
      <c r="B58" s="74" t="s">
        <v>98</v>
      </c>
      <c r="C58" s="74" t="s">
        <v>1725</v>
      </c>
      <c r="D58" s="216"/>
      <c r="E58" s="75" t="s">
        <v>1726</v>
      </c>
      <c r="F58" s="218"/>
      <c r="G58" s="75"/>
      <c r="H58" s="75" t="s">
        <v>1727</v>
      </c>
      <c r="I58" s="75"/>
      <c r="J58" s="76" t="s">
        <v>1728</v>
      </c>
      <c r="K58" s="73"/>
      <c r="L58" s="113"/>
      <c r="M58" s="114"/>
      <c r="N58" s="182"/>
      <c r="O58" s="115"/>
      <c r="P58" s="115"/>
      <c r="Q58" s="116"/>
      <c r="R58" s="115"/>
      <c r="S58" s="115"/>
      <c r="T58" s="106"/>
      <c r="U58" s="106"/>
      <c r="V58" s="106"/>
      <c r="W58" s="73"/>
      <c r="X58" s="73"/>
      <c r="Y58" s="73"/>
      <c r="Z58" s="73"/>
      <c r="AA58" s="111" t="s">
        <v>99</v>
      </c>
      <c r="AB58" s="129"/>
      <c r="AC58" s="106"/>
      <c r="AD58" s="106"/>
      <c r="AE58" s="2"/>
      <c r="AF58" s="2"/>
    </row>
    <row r="59" spans="1:32" outlineLevel="1">
      <c r="A59" s="106">
        <v>58</v>
      </c>
      <c r="B59" s="74" t="s">
        <v>100</v>
      </c>
      <c r="C59" s="74" t="s">
        <v>1719</v>
      </c>
      <c r="D59" s="216"/>
      <c r="E59" s="75" t="s">
        <v>1729</v>
      </c>
      <c r="F59" s="218"/>
      <c r="G59" s="75"/>
      <c r="H59" s="75" t="s">
        <v>1730</v>
      </c>
      <c r="I59" s="75"/>
      <c r="J59" s="76"/>
      <c r="K59" s="73"/>
      <c r="L59" s="107" t="s">
        <v>25</v>
      </c>
      <c r="M59" s="114"/>
      <c r="N59" s="182"/>
      <c r="O59" s="115"/>
      <c r="P59" s="115"/>
      <c r="Q59" s="116"/>
      <c r="R59" s="115"/>
      <c r="S59" s="115"/>
      <c r="T59" s="106"/>
      <c r="U59" s="106"/>
      <c r="V59" s="106"/>
      <c r="W59" s="73"/>
      <c r="X59" s="73"/>
      <c r="Y59" s="73"/>
      <c r="Z59" s="73"/>
      <c r="AA59" s="111" t="s">
        <v>101</v>
      </c>
      <c r="AB59" s="129"/>
      <c r="AC59" s="106"/>
      <c r="AD59" s="106"/>
      <c r="AE59" s="2"/>
      <c r="AF59" s="2"/>
    </row>
    <row r="60" spans="1:32" ht="24" outlineLevel="1">
      <c r="A60" s="106">
        <v>59</v>
      </c>
      <c r="B60" s="73"/>
      <c r="C60" s="73"/>
      <c r="D60" s="216"/>
      <c r="E60" s="75" t="s">
        <v>1547</v>
      </c>
      <c r="F60" s="218"/>
      <c r="G60" s="75"/>
      <c r="H60" s="75"/>
      <c r="I60" s="75" t="s">
        <v>1724</v>
      </c>
      <c r="J60" s="76"/>
      <c r="K60" s="73"/>
      <c r="L60" s="113"/>
      <c r="M60" s="114"/>
      <c r="N60" s="182"/>
      <c r="O60" s="115"/>
      <c r="P60" s="115"/>
      <c r="Q60" s="116"/>
      <c r="R60" s="115"/>
      <c r="S60" s="115"/>
      <c r="T60" s="106"/>
      <c r="U60" s="106"/>
      <c r="V60" s="106"/>
      <c r="W60" s="73"/>
      <c r="X60" s="73"/>
      <c r="Y60" s="73"/>
      <c r="Z60" s="73"/>
      <c r="AA60" s="112"/>
      <c r="AB60" s="129"/>
      <c r="AC60" s="106"/>
      <c r="AD60" s="106"/>
      <c r="AE60" s="2"/>
      <c r="AF60" s="2"/>
    </row>
    <row r="61" spans="1:32" outlineLevel="1">
      <c r="A61" s="106">
        <v>60</v>
      </c>
      <c r="B61" s="74" t="s">
        <v>1731</v>
      </c>
      <c r="C61" s="74" t="s">
        <v>1555</v>
      </c>
      <c r="D61" s="216"/>
      <c r="E61" s="75" t="s">
        <v>1732</v>
      </c>
      <c r="F61" s="218"/>
      <c r="G61" s="75"/>
      <c r="H61" s="75" t="s">
        <v>1733</v>
      </c>
      <c r="I61" s="176" t="s">
        <v>1734</v>
      </c>
      <c r="J61" s="76"/>
      <c r="K61" s="73"/>
      <c r="L61" s="113"/>
      <c r="M61" s="114"/>
      <c r="N61" s="182"/>
      <c r="O61" s="115"/>
      <c r="P61" s="115"/>
      <c r="Q61" s="116"/>
      <c r="R61" s="115"/>
      <c r="S61" s="115"/>
      <c r="T61" s="106"/>
      <c r="U61" s="106"/>
      <c r="V61" s="106"/>
      <c r="W61" s="73"/>
      <c r="X61" s="73"/>
      <c r="Y61" s="73"/>
      <c r="Z61" s="73"/>
      <c r="AA61" s="111" t="s">
        <v>102</v>
      </c>
      <c r="AB61" s="129"/>
      <c r="AC61" s="106"/>
      <c r="AD61" s="106"/>
      <c r="AE61" s="2"/>
      <c r="AF61" s="2"/>
    </row>
    <row r="62" spans="1:32" outlineLevel="1">
      <c r="A62" s="106">
        <v>61</v>
      </c>
      <c r="B62" s="74" t="s">
        <v>103</v>
      </c>
      <c r="C62" s="74" t="s">
        <v>1735</v>
      </c>
      <c r="D62" s="216"/>
      <c r="E62" s="75" t="s">
        <v>1548</v>
      </c>
      <c r="F62" s="218"/>
      <c r="G62" s="75"/>
      <c r="H62" s="75"/>
      <c r="I62" s="75" t="s">
        <v>1736</v>
      </c>
      <c r="J62" s="76"/>
      <c r="K62" s="73"/>
      <c r="L62" s="113"/>
      <c r="M62" s="114"/>
      <c r="N62" s="182"/>
      <c r="O62" s="115"/>
      <c r="P62" s="115"/>
      <c r="Q62" s="116"/>
      <c r="R62" s="115"/>
      <c r="S62" s="115"/>
      <c r="T62" s="106"/>
      <c r="U62" s="106"/>
      <c r="V62" s="106"/>
      <c r="W62" s="73"/>
      <c r="X62" s="73"/>
      <c r="Y62" s="73"/>
      <c r="Z62" s="73"/>
      <c r="AA62" s="112"/>
      <c r="AB62" s="129"/>
      <c r="AC62" s="106"/>
      <c r="AD62" s="106"/>
      <c r="AE62" s="2"/>
      <c r="AF62" s="2"/>
    </row>
    <row r="63" spans="1:32" outlineLevel="1">
      <c r="A63" s="106">
        <v>62</v>
      </c>
      <c r="B63" s="74" t="s">
        <v>104</v>
      </c>
      <c r="C63" s="74" t="s">
        <v>1735</v>
      </c>
      <c r="D63" s="216"/>
      <c r="E63" s="75" t="s">
        <v>1549</v>
      </c>
      <c r="F63" s="218"/>
      <c r="G63" s="75"/>
      <c r="H63" s="75"/>
      <c r="I63" s="75" t="s">
        <v>1737</v>
      </c>
      <c r="J63" s="76"/>
      <c r="K63" s="73"/>
      <c r="L63" s="113"/>
      <c r="M63" s="114"/>
      <c r="N63" s="182"/>
      <c r="O63" s="115"/>
      <c r="P63" s="115"/>
      <c r="Q63" s="116"/>
      <c r="R63" s="115"/>
      <c r="S63" s="115"/>
      <c r="T63" s="106"/>
      <c r="U63" s="106"/>
      <c r="V63" s="106"/>
      <c r="W63" s="73"/>
      <c r="X63" s="73"/>
      <c r="Y63" s="73"/>
      <c r="Z63" s="73"/>
      <c r="AA63" s="112"/>
      <c r="AB63" s="129"/>
      <c r="AC63" s="106"/>
      <c r="AD63" s="106"/>
      <c r="AE63" s="2"/>
      <c r="AF63" s="2"/>
    </row>
    <row r="64" spans="1:32" outlineLevel="1">
      <c r="A64" s="106">
        <v>63</v>
      </c>
      <c r="B64" s="74" t="s">
        <v>1738</v>
      </c>
      <c r="C64" s="74" t="s">
        <v>1735</v>
      </c>
      <c r="D64" s="216"/>
      <c r="E64" s="75" t="s">
        <v>1739</v>
      </c>
      <c r="F64" s="218"/>
      <c r="G64" s="75"/>
      <c r="H64" s="75"/>
      <c r="I64" s="75" t="s">
        <v>1740</v>
      </c>
      <c r="J64" s="76"/>
      <c r="K64" s="73"/>
      <c r="L64" s="113"/>
      <c r="M64" s="114"/>
      <c r="N64" s="182"/>
      <c r="O64" s="115"/>
      <c r="P64" s="115"/>
      <c r="Q64" s="116"/>
      <c r="R64" s="115"/>
      <c r="S64" s="115"/>
      <c r="T64" s="106"/>
      <c r="U64" s="106"/>
      <c r="V64" s="106"/>
      <c r="W64" s="73"/>
      <c r="X64" s="73"/>
      <c r="Y64" s="73"/>
      <c r="Z64" s="73"/>
      <c r="AA64" s="111" t="s">
        <v>105</v>
      </c>
      <c r="AB64" s="129"/>
      <c r="AC64" s="106"/>
      <c r="AD64" s="106"/>
      <c r="AE64" s="2"/>
      <c r="AF64" s="2"/>
    </row>
    <row r="65" spans="1:32" ht="24" outlineLevel="1">
      <c r="A65" s="106">
        <v>64</v>
      </c>
      <c r="B65" s="74" t="s">
        <v>1741</v>
      </c>
      <c r="C65" s="74" t="s">
        <v>1735</v>
      </c>
      <c r="D65" s="216"/>
      <c r="E65" s="75" t="s">
        <v>1742</v>
      </c>
      <c r="F65" s="218"/>
      <c r="G65" s="75"/>
      <c r="H65" s="75"/>
      <c r="I65" s="75" t="s">
        <v>1743</v>
      </c>
      <c r="J65" s="76"/>
      <c r="K65" s="73"/>
      <c r="L65" s="113"/>
      <c r="M65" s="114"/>
      <c r="N65" s="182"/>
      <c r="O65" s="115"/>
      <c r="P65" s="115"/>
      <c r="Q65" s="116"/>
      <c r="R65" s="115"/>
      <c r="S65" s="115"/>
      <c r="T65" s="106"/>
      <c r="U65" s="106"/>
      <c r="V65" s="106"/>
      <c r="W65" s="73"/>
      <c r="X65" s="73"/>
      <c r="Y65" s="73"/>
      <c r="Z65" s="73"/>
      <c r="AA65" s="111" t="s">
        <v>106</v>
      </c>
      <c r="AB65" s="129"/>
      <c r="AC65" s="106"/>
      <c r="AD65" s="106"/>
      <c r="AE65" s="2"/>
      <c r="AF65" s="2"/>
    </row>
    <row r="66" spans="1:32" outlineLevel="1">
      <c r="A66" s="106">
        <v>65</v>
      </c>
      <c r="B66" s="73"/>
      <c r="C66" s="73"/>
      <c r="D66" s="216"/>
      <c r="E66" s="75"/>
      <c r="F66" s="218"/>
      <c r="G66" s="75"/>
      <c r="H66" s="75"/>
      <c r="I66" s="75"/>
      <c r="J66" s="76" t="s">
        <v>1744</v>
      </c>
      <c r="K66" s="73"/>
      <c r="L66" s="113"/>
      <c r="M66" s="114"/>
      <c r="N66" s="182"/>
      <c r="O66" s="115"/>
      <c r="P66" s="115"/>
      <c r="Q66" s="116"/>
      <c r="R66" s="115"/>
      <c r="S66" s="115"/>
      <c r="T66" s="106"/>
      <c r="U66" s="106"/>
      <c r="V66" s="106"/>
      <c r="W66" s="73"/>
      <c r="X66" s="73"/>
      <c r="Y66" s="73"/>
      <c r="Z66" s="73"/>
      <c r="AA66" s="111" t="s">
        <v>107</v>
      </c>
      <c r="AB66" s="129"/>
      <c r="AC66" s="106"/>
      <c r="AD66" s="106"/>
      <c r="AE66" s="2"/>
      <c r="AF66" s="2"/>
    </row>
    <row r="67" spans="1:32" outlineLevel="1">
      <c r="A67" s="106">
        <v>66</v>
      </c>
      <c r="B67" s="73" t="s">
        <v>1745</v>
      </c>
      <c r="C67" s="73"/>
      <c r="D67" s="216"/>
      <c r="E67" s="75" t="s">
        <v>1746</v>
      </c>
      <c r="F67" s="218"/>
      <c r="G67" s="75" t="s">
        <v>1747</v>
      </c>
      <c r="H67" s="75"/>
      <c r="I67" s="75"/>
      <c r="J67" s="76"/>
      <c r="K67" s="77" t="s">
        <v>1592</v>
      </c>
      <c r="L67" s="107"/>
      <c r="M67" s="108"/>
      <c r="N67" s="181"/>
      <c r="O67" s="119" t="s">
        <v>34</v>
      </c>
      <c r="P67" s="120">
        <v>46181</v>
      </c>
      <c r="Q67" s="175" t="s">
        <v>1566</v>
      </c>
      <c r="R67" s="109"/>
      <c r="S67" s="109"/>
      <c r="T67" s="106"/>
      <c r="U67" s="106"/>
      <c r="V67" s="106"/>
      <c r="W67" s="73" t="s">
        <v>1557</v>
      </c>
      <c r="X67" s="73">
        <v>1</v>
      </c>
      <c r="Y67" s="73">
        <v>1</v>
      </c>
      <c r="Z67" s="73"/>
      <c r="AA67" s="111" t="s">
        <v>108</v>
      </c>
      <c r="AB67" s="118"/>
      <c r="AC67" s="106" t="s">
        <v>89</v>
      </c>
      <c r="AD67" s="106" t="s">
        <v>59</v>
      </c>
      <c r="AE67" s="2"/>
      <c r="AF67" s="2"/>
    </row>
    <row r="68" spans="1:32" outlineLevel="1">
      <c r="A68" s="106">
        <v>67</v>
      </c>
      <c r="B68" s="73"/>
      <c r="C68" s="73"/>
      <c r="D68" s="216"/>
      <c r="E68" s="75" t="s">
        <v>1556</v>
      </c>
      <c r="F68" s="218"/>
      <c r="G68" s="75"/>
      <c r="H68" s="75" t="s">
        <v>1710</v>
      </c>
      <c r="I68" s="75"/>
      <c r="J68" s="76"/>
      <c r="K68" s="73"/>
      <c r="L68" s="113"/>
      <c r="M68" s="114"/>
      <c r="N68" s="182"/>
      <c r="O68" s="115"/>
      <c r="P68" s="115"/>
      <c r="Q68" s="116"/>
      <c r="R68" s="115"/>
      <c r="S68" s="115"/>
      <c r="T68" s="106"/>
      <c r="U68" s="106"/>
      <c r="V68" s="106"/>
      <c r="W68" s="73"/>
      <c r="X68" s="73"/>
      <c r="Y68" s="73"/>
      <c r="Z68" s="73"/>
      <c r="AA68" s="112"/>
      <c r="AB68" s="118"/>
      <c r="AC68" s="106"/>
      <c r="AD68" s="106"/>
      <c r="AE68" s="2"/>
      <c r="AF68" s="2"/>
    </row>
    <row r="69" spans="1:32" outlineLevel="1">
      <c r="A69" s="106">
        <v>68</v>
      </c>
      <c r="B69" s="73" t="s">
        <v>1748</v>
      </c>
      <c r="C69" s="73"/>
      <c r="D69" s="216"/>
      <c r="E69" s="75" t="s">
        <v>1749</v>
      </c>
      <c r="F69" s="218"/>
      <c r="G69" s="75" t="s">
        <v>1750</v>
      </c>
      <c r="H69" s="75"/>
      <c r="I69" s="75"/>
      <c r="J69" s="76" t="s">
        <v>1751</v>
      </c>
      <c r="K69" s="77" t="s">
        <v>1544</v>
      </c>
      <c r="L69" s="107" t="s">
        <v>25</v>
      </c>
      <c r="M69" s="108"/>
      <c r="N69" s="181"/>
      <c r="O69" s="119" t="s">
        <v>34</v>
      </c>
      <c r="P69" s="120">
        <v>46181</v>
      </c>
      <c r="Q69" s="178" t="s">
        <v>1576</v>
      </c>
      <c r="R69" s="109"/>
      <c r="S69" s="109"/>
      <c r="T69" s="106"/>
      <c r="U69" s="106"/>
      <c r="V69" s="106"/>
      <c r="W69" s="73" t="s">
        <v>2628</v>
      </c>
      <c r="X69" s="73">
        <v>1</v>
      </c>
      <c r="Y69" s="73">
        <v>1</v>
      </c>
      <c r="Z69" s="73"/>
      <c r="AA69" s="111" t="s">
        <v>109</v>
      </c>
      <c r="AB69" s="118"/>
      <c r="AC69" s="106" t="s">
        <v>89</v>
      </c>
      <c r="AD69" s="106" t="s">
        <v>59</v>
      </c>
      <c r="AE69" s="2"/>
      <c r="AF69" s="2"/>
    </row>
    <row r="70" spans="1:32" outlineLevel="1">
      <c r="A70" s="106">
        <v>69</v>
      </c>
      <c r="B70" s="73" t="s">
        <v>110</v>
      </c>
      <c r="C70" s="73"/>
      <c r="D70" s="216"/>
      <c r="E70" s="75" t="s">
        <v>1752</v>
      </c>
      <c r="F70" s="218"/>
      <c r="G70" s="75"/>
      <c r="H70" s="75" t="s">
        <v>1753</v>
      </c>
      <c r="I70" s="75"/>
      <c r="J70" s="76"/>
      <c r="K70" s="77" t="s">
        <v>1592</v>
      </c>
      <c r="L70" s="107" t="s">
        <v>25</v>
      </c>
      <c r="M70" s="108"/>
      <c r="N70" s="181"/>
      <c r="O70" s="119" t="s">
        <v>34</v>
      </c>
      <c r="P70" s="120">
        <v>46181</v>
      </c>
      <c r="Q70" s="178" t="s">
        <v>1576</v>
      </c>
      <c r="R70" s="109"/>
      <c r="S70" s="109"/>
      <c r="T70" s="106"/>
      <c r="U70" s="106"/>
      <c r="V70" s="106"/>
      <c r="W70" s="73" t="s">
        <v>2627</v>
      </c>
      <c r="X70" s="73"/>
      <c r="Y70" s="73">
        <v>1</v>
      </c>
      <c r="Z70" s="73">
        <v>1</v>
      </c>
      <c r="AA70" s="111" t="s">
        <v>111</v>
      </c>
      <c r="AB70" s="118"/>
      <c r="AC70" s="106"/>
      <c r="AD70" s="106"/>
      <c r="AE70" s="2"/>
      <c r="AF70" s="2"/>
    </row>
    <row r="71" spans="1:32" outlineLevel="1">
      <c r="A71" s="106">
        <v>70</v>
      </c>
      <c r="B71" s="73" t="s">
        <v>112</v>
      </c>
      <c r="C71" s="73"/>
      <c r="D71" s="216"/>
      <c r="E71" s="75" t="s">
        <v>1754</v>
      </c>
      <c r="F71" s="218"/>
      <c r="G71" s="75"/>
      <c r="H71" s="75" t="s">
        <v>1755</v>
      </c>
      <c r="I71" s="75"/>
      <c r="J71" s="76"/>
      <c r="K71" s="77" t="s">
        <v>1592</v>
      </c>
      <c r="L71" s="107" t="s">
        <v>25</v>
      </c>
      <c r="M71" s="108"/>
      <c r="N71" s="181"/>
      <c r="O71" s="119" t="s">
        <v>34</v>
      </c>
      <c r="P71" s="120">
        <v>46181</v>
      </c>
      <c r="Q71" s="178" t="s">
        <v>1576</v>
      </c>
      <c r="R71" s="109"/>
      <c r="S71" s="109"/>
      <c r="T71" s="106"/>
      <c r="U71" s="106"/>
      <c r="V71" s="106"/>
      <c r="W71" s="73" t="s">
        <v>1558</v>
      </c>
      <c r="X71" s="73"/>
      <c r="Y71" s="73">
        <v>1</v>
      </c>
      <c r="Z71" s="73">
        <v>1</v>
      </c>
      <c r="AA71" s="111" t="s">
        <v>113</v>
      </c>
      <c r="AB71" s="118"/>
      <c r="AC71" s="106"/>
      <c r="AD71" s="106"/>
      <c r="AE71" s="2"/>
      <c r="AF71" s="2"/>
    </row>
    <row r="72" spans="1:32" outlineLevel="1">
      <c r="A72" s="106">
        <v>71</v>
      </c>
      <c r="B72" s="73" t="s">
        <v>114</v>
      </c>
      <c r="C72" s="73"/>
      <c r="D72" s="216"/>
      <c r="E72" s="75" t="s">
        <v>1756</v>
      </c>
      <c r="F72" s="218"/>
      <c r="G72" s="75"/>
      <c r="H72" s="75" t="s">
        <v>1757</v>
      </c>
      <c r="I72" s="75"/>
      <c r="J72" s="76"/>
      <c r="K72" s="77" t="s">
        <v>1592</v>
      </c>
      <c r="L72" s="107"/>
      <c r="M72" s="108"/>
      <c r="N72" s="181"/>
      <c r="O72" s="119" t="s">
        <v>34</v>
      </c>
      <c r="P72" s="120">
        <v>46181</v>
      </c>
      <c r="Q72" s="178" t="s">
        <v>1576</v>
      </c>
      <c r="R72" s="109"/>
      <c r="S72" s="109"/>
      <c r="T72" s="106"/>
      <c r="U72" s="106"/>
      <c r="V72" s="106"/>
      <c r="W72" s="73" t="s">
        <v>1558</v>
      </c>
      <c r="X72" s="73"/>
      <c r="Y72" s="73">
        <v>1</v>
      </c>
      <c r="Z72" s="73">
        <v>1</v>
      </c>
      <c r="AA72" s="111" t="s">
        <v>115</v>
      </c>
      <c r="AB72" s="118"/>
      <c r="AC72" s="106"/>
      <c r="AD72" s="106"/>
      <c r="AE72" s="2"/>
      <c r="AF72" s="2"/>
    </row>
    <row r="73" spans="1:32" outlineLevel="1">
      <c r="A73" s="106">
        <v>72</v>
      </c>
      <c r="B73" s="73" t="s">
        <v>1758</v>
      </c>
      <c r="C73" s="73"/>
      <c r="D73" s="216"/>
      <c r="E73" s="75"/>
      <c r="F73" s="218"/>
      <c r="G73" s="75"/>
      <c r="H73" s="75"/>
      <c r="I73" s="75" t="s">
        <v>1759</v>
      </c>
      <c r="J73" s="76"/>
      <c r="K73" s="73"/>
      <c r="L73" s="113"/>
      <c r="M73" s="114"/>
      <c r="N73" s="182"/>
      <c r="O73" s="115"/>
      <c r="P73" s="115"/>
      <c r="Q73" s="116"/>
      <c r="R73" s="115"/>
      <c r="S73" s="115"/>
      <c r="T73" s="106"/>
      <c r="U73" s="106"/>
      <c r="V73" s="106"/>
      <c r="W73" s="73"/>
      <c r="X73" s="73"/>
      <c r="Y73" s="73"/>
      <c r="Z73" s="73"/>
      <c r="AA73" s="112"/>
      <c r="AB73" s="118"/>
      <c r="AC73" s="106"/>
      <c r="AD73" s="106"/>
      <c r="AE73" s="2"/>
      <c r="AF73" s="2"/>
    </row>
    <row r="74" spans="1:32" outlineLevel="1">
      <c r="A74" s="106">
        <v>73</v>
      </c>
      <c r="B74" s="73" t="s">
        <v>1760</v>
      </c>
      <c r="C74" s="73"/>
      <c r="D74" s="216"/>
      <c r="E74" s="75" t="s">
        <v>1761</v>
      </c>
      <c r="F74" s="218"/>
      <c r="G74" s="75" t="s">
        <v>1762</v>
      </c>
      <c r="H74" s="75"/>
      <c r="I74" s="75"/>
      <c r="J74" s="76"/>
      <c r="K74" s="77" t="s">
        <v>1592</v>
      </c>
      <c r="L74" s="107"/>
      <c r="M74" s="108"/>
      <c r="N74" s="181"/>
      <c r="O74" s="119" t="s">
        <v>34</v>
      </c>
      <c r="P74" s="120">
        <v>46181</v>
      </c>
      <c r="Q74" s="175" t="s">
        <v>1566</v>
      </c>
      <c r="R74" s="109"/>
      <c r="S74" s="109"/>
      <c r="T74" s="106"/>
      <c r="U74" s="106"/>
      <c r="V74" s="106"/>
      <c r="W74" s="73" t="s">
        <v>1557</v>
      </c>
      <c r="X74" s="73">
        <v>1</v>
      </c>
      <c r="Y74" s="73">
        <v>1</v>
      </c>
      <c r="Z74" s="73"/>
      <c r="AA74" s="111" t="s">
        <v>117</v>
      </c>
      <c r="AB74" s="118"/>
      <c r="AC74" s="106" t="s">
        <v>89</v>
      </c>
      <c r="AD74" s="106" t="s">
        <v>59</v>
      </c>
      <c r="AE74" s="2"/>
      <c r="AF74" s="2"/>
    </row>
    <row r="75" spans="1:32" s="79" customFormat="1">
      <c r="A75" s="80" t="s">
        <v>1763</v>
      </c>
      <c r="B75" s="73"/>
      <c r="C75" s="74" t="s">
        <v>1764</v>
      </c>
      <c r="D75" s="216"/>
      <c r="E75" s="75" t="s">
        <v>1765</v>
      </c>
      <c r="F75" s="218"/>
      <c r="G75" s="75"/>
      <c r="H75" s="75" t="s">
        <v>1710</v>
      </c>
      <c r="I75" s="75"/>
      <c r="J75" s="76"/>
      <c r="K75" s="77"/>
      <c r="L75" s="73"/>
      <c r="M75" s="73"/>
      <c r="N75" s="184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8"/>
      <c r="AC75" s="130"/>
      <c r="AD75" s="130"/>
    </row>
    <row r="76" spans="1:32" outlineLevel="1">
      <c r="A76" s="106">
        <v>75</v>
      </c>
      <c r="B76" s="73" t="s">
        <v>118</v>
      </c>
      <c r="C76" s="73"/>
      <c r="D76" s="216"/>
      <c r="E76" s="75" t="s">
        <v>1766</v>
      </c>
      <c r="F76" s="218"/>
      <c r="G76" s="75"/>
      <c r="H76" s="75" t="s">
        <v>1767</v>
      </c>
      <c r="I76" s="75"/>
      <c r="J76" s="76"/>
      <c r="K76" s="77" t="s">
        <v>1592</v>
      </c>
      <c r="L76" s="107"/>
      <c r="M76" s="108"/>
      <c r="N76" s="181"/>
      <c r="O76" s="119" t="s">
        <v>34</v>
      </c>
      <c r="P76" s="120">
        <v>46181</v>
      </c>
      <c r="Q76" s="175" t="s">
        <v>1566</v>
      </c>
      <c r="R76" s="109"/>
      <c r="S76" s="109"/>
      <c r="T76" s="106"/>
      <c r="U76" s="106"/>
      <c r="V76" s="106"/>
      <c r="W76" s="73" t="s">
        <v>2629</v>
      </c>
      <c r="X76" s="73">
        <v>1</v>
      </c>
      <c r="Y76" s="73">
        <v>3</v>
      </c>
      <c r="Z76" s="73"/>
      <c r="AA76" s="111" t="s">
        <v>119</v>
      </c>
      <c r="AB76" s="118"/>
      <c r="AC76" s="106"/>
      <c r="AD76" s="106"/>
      <c r="AE76" s="2"/>
      <c r="AF76" s="2"/>
    </row>
    <row r="77" spans="1:32" outlineLevel="1">
      <c r="A77" s="106">
        <v>76</v>
      </c>
      <c r="B77" s="73"/>
      <c r="C77" s="73"/>
      <c r="D77" s="216"/>
      <c r="E77" s="75"/>
      <c r="F77" s="218"/>
      <c r="G77" s="75"/>
      <c r="H77" s="75"/>
      <c r="I77" s="75" t="s">
        <v>1768</v>
      </c>
      <c r="J77" s="76"/>
      <c r="K77" s="73"/>
      <c r="L77" s="113"/>
      <c r="M77" s="114"/>
      <c r="N77" s="182"/>
      <c r="O77" s="115"/>
      <c r="P77" s="115"/>
      <c r="Q77" s="116"/>
      <c r="R77" s="115"/>
      <c r="S77" s="115"/>
      <c r="T77" s="106"/>
      <c r="U77" s="106"/>
      <c r="V77" s="106"/>
      <c r="W77" s="73"/>
      <c r="X77" s="73"/>
      <c r="Y77" s="73"/>
      <c r="Z77" s="73"/>
      <c r="AA77" s="111" t="s">
        <v>120</v>
      </c>
      <c r="AB77" s="118"/>
      <c r="AC77" s="106"/>
      <c r="AD77" s="106"/>
      <c r="AE77" s="2"/>
      <c r="AF77" s="2"/>
    </row>
    <row r="78" spans="1:32" outlineLevel="1">
      <c r="A78" s="106">
        <v>77</v>
      </c>
      <c r="B78" s="73" t="s">
        <v>121</v>
      </c>
      <c r="C78" s="73"/>
      <c r="D78" s="216"/>
      <c r="E78" s="75" t="s">
        <v>1769</v>
      </c>
      <c r="F78" s="218"/>
      <c r="G78" s="75"/>
      <c r="H78" s="75" t="s">
        <v>1770</v>
      </c>
      <c r="I78" s="75"/>
      <c r="J78" s="76"/>
      <c r="K78" s="77" t="s">
        <v>1592</v>
      </c>
      <c r="L78" s="107"/>
      <c r="M78" s="108"/>
      <c r="N78" s="181"/>
      <c r="O78" s="119" t="s">
        <v>34</v>
      </c>
      <c r="P78" s="120">
        <v>46181</v>
      </c>
      <c r="Q78" s="175" t="s">
        <v>1566</v>
      </c>
      <c r="R78" s="109"/>
      <c r="S78" s="109"/>
      <c r="T78" s="106"/>
      <c r="U78" s="106"/>
      <c r="V78" s="106"/>
      <c r="W78" s="73" t="s">
        <v>2629</v>
      </c>
      <c r="X78" s="73">
        <v>1</v>
      </c>
      <c r="Y78" s="73">
        <v>1</v>
      </c>
      <c r="Z78" s="73"/>
      <c r="AA78" s="111" t="s">
        <v>122</v>
      </c>
      <c r="AB78" s="118"/>
      <c r="AC78" s="106"/>
      <c r="AD78" s="106"/>
      <c r="AE78" s="2"/>
      <c r="AF78" s="2"/>
    </row>
    <row r="79" spans="1:32" outlineLevel="1">
      <c r="A79" s="106">
        <v>78</v>
      </c>
      <c r="B79" s="73" t="s">
        <v>1771</v>
      </c>
      <c r="C79" s="73"/>
      <c r="D79" s="216"/>
      <c r="E79" s="75" t="s">
        <v>1772</v>
      </c>
      <c r="F79" s="218"/>
      <c r="G79" s="75" t="s">
        <v>1773</v>
      </c>
      <c r="H79" s="75"/>
      <c r="I79" s="75"/>
      <c r="J79" s="76"/>
      <c r="K79" s="77" t="s">
        <v>1592</v>
      </c>
      <c r="L79" s="107" t="s">
        <v>25</v>
      </c>
      <c r="M79" s="108"/>
      <c r="N79" s="181"/>
      <c r="O79" s="119" t="s">
        <v>34</v>
      </c>
      <c r="P79" s="120">
        <v>46181</v>
      </c>
      <c r="Q79" s="175" t="s">
        <v>1566</v>
      </c>
      <c r="R79" s="109"/>
      <c r="S79" s="109"/>
      <c r="T79" s="106"/>
      <c r="U79" s="106"/>
      <c r="V79" s="106"/>
      <c r="W79" s="73" t="s">
        <v>2629</v>
      </c>
      <c r="X79" s="73">
        <v>1</v>
      </c>
      <c r="Y79" s="73">
        <v>1</v>
      </c>
      <c r="Z79" s="73"/>
      <c r="AA79" s="111" t="s">
        <v>123</v>
      </c>
      <c r="AB79" s="118"/>
      <c r="AC79" s="106" t="s">
        <v>89</v>
      </c>
      <c r="AD79" s="106" t="s">
        <v>59</v>
      </c>
      <c r="AE79" s="2"/>
      <c r="AF79" s="2"/>
    </row>
    <row r="80" spans="1:32" outlineLevel="1">
      <c r="A80" s="106">
        <v>79</v>
      </c>
      <c r="B80" s="73"/>
      <c r="C80" s="73"/>
      <c r="D80" s="216"/>
      <c r="E80" s="75"/>
      <c r="F80" s="218"/>
      <c r="G80" s="75"/>
      <c r="H80" s="75" t="s">
        <v>1774</v>
      </c>
      <c r="I80" s="75"/>
      <c r="J80" s="76"/>
      <c r="K80" s="73"/>
      <c r="L80" s="113"/>
      <c r="M80" s="114"/>
      <c r="N80" s="182"/>
      <c r="O80" s="115"/>
      <c r="P80" s="115"/>
      <c r="Q80" s="116"/>
      <c r="R80" s="115"/>
      <c r="S80" s="115"/>
      <c r="T80" s="106"/>
      <c r="U80" s="106"/>
      <c r="V80" s="106"/>
      <c r="W80" s="73"/>
      <c r="X80" s="73"/>
      <c r="Y80" s="73"/>
      <c r="Z80" s="73"/>
      <c r="AA80" s="111" t="s">
        <v>124</v>
      </c>
      <c r="AB80" s="118"/>
      <c r="AC80" s="106"/>
      <c r="AD80" s="106"/>
      <c r="AE80" s="2"/>
      <c r="AF80" s="2"/>
    </row>
    <row r="81" spans="1:32" outlineLevel="1">
      <c r="A81" s="106">
        <v>80</v>
      </c>
      <c r="B81" s="73" t="s">
        <v>1775</v>
      </c>
      <c r="C81" s="74" t="s">
        <v>1776</v>
      </c>
      <c r="D81" s="216"/>
      <c r="E81" s="75" t="s">
        <v>1777</v>
      </c>
      <c r="F81" s="218"/>
      <c r="G81" s="75" t="s">
        <v>1778</v>
      </c>
      <c r="H81" s="75"/>
      <c r="I81" s="75"/>
      <c r="J81" s="76"/>
      <c r="K81" s="77" t="s">
        <v>1592</v>
      </c>
      <c r="L81" s="107"/>
      <c r="M81" s="108"/>
      <c r="N81" s="181"/>
      <c r="O81" s="119" t="s">
        <v>34</v>
      </c>
      <c r="P81" s="120">
        <v>46181</v>
      </c>
      <c r="Q81" s="175" t="s">
        <v>1566</v>
      </c>
      <c r="R81" s="109"/>
      <c r="S81" s="109"/>
      <c r="T81" s="106"/>
      <c r="U81" s="106"/>
      <c r="V81" s="106"/>
      <c r="W81" s="73" t="s">
        <v>1557</v>
      </c>
      <c r="X81" s="73">
        <v>1</v>
      </c>
      <c r="Y81" s="73">
        <v>1</v>
      </c>
      <c r="Z81" s="73"/>
      <c r="AA81" s="111" t="s">
        <v>125</v>
      </c>
      <c r="AB81" s="118"/>
      <c r="AC81" s="106"/>
      <c r="AD81" s="106"/>
      <c r="AE81" s="2"/>
      <c r="AF81" s="2"/>
    </row>
    <row r="82" spans="1:32" outlineLevel="1">
      <c r="A82" s="106">
        <v>81</v>
      </c>
      <c r="B82" s="73"/>
      <c r="C82" s="74" t="s">
        <v>1776</v>
      </c>
      <c r="D82" s="216"/>
      <c r="E82" s="75" t="s">
        <v>1779</v>
      </c>
      <c r="F82" s="218"/>
      <c r="G82" s="75"/>
      <c r="H82" s="75" t="s">
        <v>1780</v>
      </c>
      <c r="I82" s="75"/>
      <c r="J82" s="76"/>
      <c r="K82" s="73"/>
      <c r="L82" s="131"/>
      <c r="M82" s="132"/>
      <c r="N82" s="185"/>
      <c r="O82" s="133"/>
      <c r="P82" s="133"/>
      <c r="Q82" s="134"/>
      <c r="R82" s="133"/>
      <c r="S82" s="133"/>
      <c r="T82" s="106"/>
      <c r="U82" s="106"/>
      <c r="V82" s="106"/>
      <c r="W82" s="73"/>
      <c r="X82" s="73"/>
      <c r="Y82" s="73"/>
      <c r="Z82" s="73"/>
      <c r="AA82" s="111" t="s">
        <v>127</v>
      </c>
      <c r="AB82" s="118"/>
      <c r="AC82" s="106"/>
      <c r="AD82" s="106"/>
      <c r="AE82" s="2"/>
      <c r="AF82" s="2"/>
    </row>
    <row r="83" spans="1:32" outlineLevel="1">
      <c r="A83" s="106">
        <v>82</v>
      </c>
      <c r="B83" s="73" t="s">
        <v>1781</v>
      </c>
      <c r="C83" s="73"/>
      <c r="D83" s="216"/>
      <c r="E83" s="75" t="s">
        <v>1782</v>
      </c>
      <c r="F83" s="218"/>
      <c r="G83" s="75" t="s">
        <v>1783</v>
      </c>
      <c r="H83" s="75"/>
      <c r="I83" s="75"/>
      <c r="J83" s="76"/>
      <c r="K83" s="77" t="s">
        <v>1592</v>
      </c>
      <c r="L83" s="107" t="s">
        <v>25</v>
      </c>
      <c r="M83" s="108"/>
      <c r="N83" s="181"/>
      <c r="O83" s="109" t="s">
        <v>24</v>
      </c>
      <c r="P83" s="109"/>
      <c r="Q83" s="110"/>
      <c r="R83" s="109"/>
      <c r="S83" s="109"/>
      <c r="T83" s="106"/>
      <c r="U83" s="106"/>
      <c r="V83" s="106"/>
      <c r="W83" s="73" t="s">
        <v>1557</v>
      </c>
      <c r="X83" s="73">
        <v>1</v>
      </c>
      <c r="Y83" s="73">
        <v>1</v>
      </c>
      <c r="Z83" s="73"/>
      <c r="AA83" s="111" t="s">
        <v>128</v>
      </c>
      <c r="AB83" s="118"/>
      <c r="AC83" s="106" t="s">
        <v>129</v>
      </c>
      <c r="AD83" s="106" t="s">
        <v>130</v>
      </c>
      <c r="AE83" s="2"/>
      <c r="AF83" s="2"/>
    </row>
    <row r="84" spans="1:32" outlineLevel="1">
      <c r="A84" s="106">
        <v>83</v>
      </c>
      <c r="B84" s="85" t="s">
        <v>1784</v>
      </c>
      <c r="C84" s="135"/>
      <c r="D84" s="216"/>
      <c r="E84" s="75" t="s">
        <v>1785</v>
      </c>
      <c r="F84" s="218"/>
      <c r="G84" s="75"/>
      <c r="H84" s="75" t="s">
        <v>1786</v>
      </c>
      <c r="I84" s="75"/>
      <c r="J84" s="75"/>
      <c r="K84" s="77" t="s">
        <v>1592</v>
      </c>
      <c r="L84" s="107"/>
      <c r="M84" s="108"/>
      <c r="N84" s="181" t="s">
        <v>133</v>
      </c>
      <c r="O84" s="109"/>
      <c r="P84" s="109"/>
      <c r="Q84" s="110"/>
      <c r="R84" s="109"/>
      <c r="S84" s="109"/>
      <c r="T84" s="106"/>
      <c r="U84" s="106"/>
      <c r="V84" s="106"/>
      <c r="W84" s="73" t="s">
        <v>1557</v>
      </c>
      <c r="X84" s="73">
        <v>1</v>
      </c>
      <c r="Y84" s="73">
        <v>4</v>
      </c>
      <c r="Z84" s="73"/>
      <c r="AA84" s="111" t="s">
        <v>134</v>
      </c>
      <c r="AB84" s="118"/>
      <c r="AC84" s="106" t="s">
        <v>129</v>
      </c>
      <c r="AD84" s="106" t="s">
        <v>135</v>
      </c>
      <c r="AE84" s="2"/>
      <c r="AF84" s="2"/>
    </row>
    <row r="85" spans="1:32" ht="24" outlineLevel="1">
      <c r="A85" s="106">
        <v>84</v>
      </c>
      <c r="B85" s="73"/>
      <c r="C85" s="73"/>
      <c r="D85" s="216"/>
      <c r="E85" s="75"/>
      <c r="F85" s="218"/>
      <c r="G85" s="75"/>
      <c r="H85" s="75"/>
      <c r="I85" s="75"/>
      <c r="J85" s="76" t="s">
        <v>1787</v>
      </c>
      <c r="K85" s="73"/>
      <c r="L85" s="113"/>
      <c r="M85" s="114"/>
      <c r="N85" s="182"/>
      <c r="O85" s="115"/>
      <c r="P85" s="115"/>
      <c r="Q85" s="116"/>
      <c r="R85" s="115"/>
      <c r="S85" s="115"/>
      <c r="T85" s="106"/>
      <c r="U85" s="106"/>
      <c r="V85" s="106"/>
      <c r="W85" s="73"/>
      <c r="X85" s="73"/>
      <c r="Y85" s="73"/>
      <c r="Z85" s="73"/>
      <c r="AA85" s="111" t="s">
        <v>136</v>
      </c>
      <c r="AB85" s="118"/>
      <c r="AC85" s="106" t="s">
        <v>129</v>
      </c>
      <c r="AD85" s="106" t="s">
        <v>137</v>
      </c>
      <c r="AE85" s="2"/>
      <c r="AF85" s="2"/>
    </row>
    <row r="86" spans="1:32" s="79" customFormat="1">
      <c r="A86" s="80" t="s">
        <v>1763</v>
      </c>
      <c r="B86" s="73" t="s">
        <v>1788</v>
      </c>
      <c r="C86" s="74" t="s">
        <v>1789</v>
      </c>
      <c r="D86" s="216"/>
      <c r="E86" s="75" t="s">
        <v>1790</v>
      </c>
      <c r="F86" s="218"/>
      <c r="G86" s="75"/>
      <c r="H86" s="75" t="s">
        <v>1791</v>
      </c>
      <c r="I86" s="75"/>
      <c r="J86" s="76"/>
      <c r="K86" s="77" t="s">
        <v>1592</v>
      </c>
      <c r="L86" s="73"/>
      <c r="M86" s="73"/>
      <c r="N86" s="184"/>
      <c r="O86" s="73"/>
      <c r="P86" s="73"/>
      <c r="Q86" s="73"/>
      <c r="R86" s="73"/>
      <c r="S86" s="73"/>
      <c r="T86" s="73"/>
      <c r="U86" s="73"/>
      <c r="V86" s="73"/>
      <c r="W86" s="73" t="s">
        <v>1557</v>
      </c>
      <c r="X86" s="73">
        <v>1</v>
      </c>
      <c r="Y86" s="73">
        <v>1</v>
      </c>
      <c r="Z86" s="73"/>
      <c r="AA86" s="73"/>
      <c r="AB86" s="78"/>
      <c r="AC86" s="130"/>
      <c r="AD86" s="130"/>
    </row>
    <row r="87" spans="1:32" s="79" customFormat="1">
      <c r="A87" s="80" t="s">
        <v>1763</v>
      </c>
      <c r="B87" s="73" t="s">
        <v>1545</v>
      </c>
      <c r="C87" s="74" t="s">
        <v>1789</v>
      </c>
      <c r="D87" s="216"/>
      <c r="E87" s="75" t="s">
        <v>1792</v>
      </c>
      <c r="F87" s="218"/>
      <c r="G87" s="75"/>
      <c r="H87" s="75"/>
      <c r="I87" s="75" t="s">
        <v>1793</v>
      </c>
      <c r="J87" s="76"/>
      <c r="K87" s="77" t="s">
        <v>1592</v>
      </c>
      <c r="L87" s="73"/>
      <c r="M87" s="73"/>
      <c r="N87" s="184"/>
      <c r="O87" s="73"/>
      <c r="P87" s="73"/>
      <c r="Q87" s="73"/>
      <c r="R87" s="73"/>
      <c r="S87" s="73"/>
      <c r="T87" s="73"/>
      <c r="U87" s="73"/>
      <c r="V87" s="73"/>
      <c r="W87" s="73" t="s">
        <v>2629</v>
      </c>
      <c r="X87" s="73">
        <v>1</v>
      </c>
      <c r="Y87" s="73">
        <v>2</v>
      </c>
      <c r="Z87" s="73"/>
      <c r="AA87" s="73"/>
      <c r="AB87" s="78"/>
      <c r="AC87" s="130"/>
      <c r="AD87" s="130"/>
    </row>
    <row r="88" spans="1:32" outlineLevel="1">
      <c r="A88" s="106">
        <v>87</v>
      </c>
      <c r="B88" s="73" t="s">
        <v>1794</v>
      </c>
      <c r="C88" s="85"/>
      <c r="D88" s="216"/>
      <c r="E88" s="75" t="s">
        <v>1795</v>
      </c>
      <c r="F88" s="218"/>
      <c r="G88" s="75"/>
      <c r="H88" s="75" t="s">
        <v>1796</v>
      </c>
      <c r="I88" s="75"/>
      <c r="J88" s="76"/>
      <c r="K88" s="77" t="s">
        <v>1592</v>
      </c>
      <c r="L88" s="107" t="s">
        <v>25</v>
      </c>
      <c r="M88" s="132"/>
      <c r="N88" s="185"/>
      <c r="O88" s="119" t="s">
        <v>34</v>
      </c>
      <c r="P88" s="120">
        <v>46181</v>
      </c>
      <c r="Q88" s="175" t="s">
        <v>1566</v>
      </c>
      <c r="R88" s="133"/>
      <c r="S88" s="133"/>
      <c r="T88" s="106"/>
      <c r="U88" s="106"/>
      <c r="V88" s="106"/>
      <c r="W88" s="73" t="s">
        <v>1557</v>
      </c>
      <c r="X88" s="73">
        <v>1</v>
      </c>
      <c r="Y88" s="73">
        <v>2</v>
      </c>
      <c r="Z88" s="73"/>
      <c r="AA88" s="111" t="s">
        <v>140</v>
      </c>
      <c r="AB88" s="112"/>
      <c r="AC88" s="106" t="s">
        <v>129</v>
      </c>
      <c r="AD88" s="106" t="s">
        <v>141</v>
      </c>
      <c r="AE88" s="2"/>
      <c r="AF88" s="2"/>
    </row>
    <row r="89" spans="1:32" outlineLevel="1">
      <c r="A89" s="106">
        <v>88</v>
      </c>
      <c r="B89" s="73" t="s">
        <v>1797</v>
      </c>
      <c r="C89" s="73"/>
      <c r="D89" s="216"/>
      <c r="E89" s="75" t="s">
        <v>1798</v>
      </c>
      <c r="F89" s="218"/>
      <c r="G89" s="75"/>
      <c r="H89" s="75"/>
      <c r="I89" s="75" t="s">
        <v>1799</v>
      </c>
      <c r="J89" s="76"/>
      <c r="K89" s="77" t="s">
        <v>1592</v>
      </c>
      <c r="L89" s="131"/>
      <c r="M89" s="132"/>
      <c r="N89" s="185"/>
      <c r="O89" s="133"/>
      <c r="P89" s="133"/>
      <c r="Q89" s="134"/>
      <c r="R89" s="133"/>
      <c r="S89" s="133"/>
      <c r="T89" s="106"/>
      <c r="U89" s="106"/>
      <c r="V89" s="106"/>
      <c r="W89" s="73" t="s">
        <v>2630</v>
      </c>
      <c r="X89" s="73"/>
      <c r="Y89" s="73">
        <v>1</v>
      </c>
      <c r="Z89" s="73">
        <v>1</v>
      </c>
      <c r="AA89" s="112"/>
      <c r="AB89" s="112"/>
      <c r="AC89" s="106"/>
      <c r="AD89" s="106"/>
      <c r="AE89" s="2"/>
      <c r="AF89" s="2"/>
    </row>
    <row r="90" spans="1:32" outlineLevel="1">
      <c r="A90" s="106">
        <v>89</v>
      </c>
      <c r="B90" s="73" t="s">
        <v>142</v>
      </c>
      <c r="C90" s="73"/>
      <c r="D90" s="216"/>
      <c r="E90" s="75" t="s">
        <v>1800</v>
      </c>
      <c r="F90" s="218"/>
      <c r="G90" s="75"/>
      <c r="H90" s="75"/>
      <c r="I90" s="75" t="s">
        <v>1801</v>
      </c>
      <c r="J90" s="76"/>
      <c r="K90" s="77" t="s">
        <v>1592</v>
      </c>
      <c r="L90" s="131"/>
      <c r="M90" s="132"/>
      <c r="N90" s="185"/>
      <c r="O90" s="133"/>
      <c r="P90" s="133"/>
      <c r="Q90" s="134"/>
      <c r="R90" s="133"/>
      <c r="S90" s="133"/>
      <c r="T90" s="106"/>
      <c r="U90" s="106"/>
      <c r="V90" s="106"/>
      <c r="W90" s="73" t="s">
        <v>1558</v>
      </c>
      <c r="X90" s="73"/>
      <c r="Y90" s="73">
        <v>1</v>
      </c>
      <c r="Z90" s="73">
        <v>1</v>
      </c>
      <c r="AA90" s="112"/>
      <c r="AB90" s="112"/>
      <c r="AC90" s="106"/>
      <c r="AD90" s="106"/>
      <c r="AE90" s="2"/>
      <c r="AF90" s="2"/>
    </row>
    <row r="91" spans="1:32" outlineLevel="1">
      <c r="A91" s="106">
        <v>90</v>
      </c>
      <c r="B91" s="73" t="s">
        <v>1802</v>
      </c>
      <c r="C91" s="73"/>
      <c r="D91" s="216"/>
      <c r="E91" s="75" t="s">
        <v>1803</v>
      </c>
      <c r="F91" s="218"/>
      <c r="G91" s="75"/>
      <c r="H91" s="75"/>
      <c r="I91" s="75" t="s">
        <v>1804</v>
      </c>
      <c r="J91" s="76"/>
      <c r="K91" s="77" t="s">
        <v>1592</v>
      </c>
      <c r="L91" s="107" t="s">
        <v>25</v>
      </c>
      <c r="M91" s="132"/>
      <c r="N91" s="181" t="s">
        <v>133</v>
      </c>
      <c r="O91" s="119" t="s">
        <v>34</v>
      </c>
      <c r="P91" s="120">
        <v>46181</v>
      </c>
      <c r="Q91" s="175" t="s">
        <v>1579</v>
      </c>
      <c r="R91" s="133"/>
      <c r="S91" s="133"/>
      <c r="T91" s="106"/>
      <c r="U91" s="106"/>
      <c r="V91" s="106"/>
      <c r="W91" s="73" t="s">
        <v>2630</v>
      </c>
      <c r="X91" s="73"/>
      <c r="Y91" s="73">
        <v>1</v>
      </c>
      <c r="Z91" s="73">
        <v>1</v>
      </c>
      <c r="AA91" s="112"/>
      <c r="AB91" s="112"/>
      <c r="AC91" s="106"/>
      <c r="AD91" s="106"/>
      <c r="AE91" s="2"/>
      <c r="AF91" s="2"/>
    </row>
    <row r="92" spans="1:32" outlineLevel="1">
      <c r="A92" s="106">
        <v>91</v>
      </c>
      <c r="B92" s="73" t="s">
        <v>143</v>
      </c>
      <c r="C92" s="73"/>
      <c r="D92" s="216"/>
      <c r="E92" s="75" t="s">
        <v>1805</v>
      </c>
      <c r="F92" s="218"/>
      <c r="G92" s="75"/>
      <c r="H92" s="75"/>
      <c r="I92" s="75" t="s">
        <v>1806</v>
      </c>
      <c r="J92" s="76"/>
      <c r="K92" s="77" t="s">
        <v>1592</v>
      </c>
      <c r="L92" s="131"/>
      <c r="M92" s="132"/>
      <c r="N92" s="185"/>
      <c r="O92" s="133"/>
      <c r="P92" s="133"/>
      <c r="Q92" s="134"/>
      <c r="R92" s="133"/>
      <c r="S92" s="133"/>
      <c r="T92" s="106"/>
      <c r="U92" s="106"/>
      <c r="V92" s="106"/>
      <c r="W92" s="73" t="s">
        <v>1558</v>
      </c>
      <c r="X92" s="73"/>
      <c r="Y92" s="73">
        <v>1</v>
      </c>
      <c r="Z92" s="73">
        <v>1</v>
      </c>
      <c r="AA92" s="112"/>
      <c r="AB92" s="112"/>
      <c r="AC92" s="106"/>
      <c r="AD92" s="106"/>
      <c r="AE92" s="2"/>
      <c r="AF92" s="2"/>
    </row>
    <row r="93" spans="1:32" outlineLevel="1">
      <c r="A93" s="106">
        <v>92</v>
      </c>
      <c r="B93" s="73" t="s">
        <v>144</v>
      </c>
      <c r="C93" s="73"/>
      <c r="D93" s="216"/>
      <c r="E93" s="75" t="s">
        <v>1807</v>
      </c>
      <c r="F93" s="218"/>
      <c r="G93" s="75"/>
      <c r="H93" s="75"/>
      <c r="I93" s="75" t="s">
        <v>1808</v>
      </c>
      <c r="J93" s="86" t="s">
        <v>1809</v>
      </c>
      <c r="K93" s="77" t="s">
        <v>1592</v>
      </c>
      <c r="L93" s="131"/>
      <c r="M93" s="132"/>
      <c r="N93" s="185"/>
      <c r="O93" s="133"/>
      <c r="P93" s="133"/>
      <c r="Q93" s="134"/>
      <c r="R93" s="133"/>
      <c r="S93" s="133"/>
      <c r="T93" s="106"/>
      <c r="U93" s="106"/>
      <c r="V93" s="106"/>
      <c r="W93" s="73" t="s">
        <v>1558</v>
      </c>
      <c r="X93" s="73"/>
      <c r="Y93" s="73">
        <v>1</v>
      </c>
      <c r="Z93" s="73">
        <v>1</v>
      </c>
      <c r="AA93" s="112"/>
      <c r="AB93" s="112"/>
      <c r="AC93" s="106"/>
      <c r="AD93" s="106"/>
      <c r="AE93" s="2"/>
      <c r="AF93" s="2"/>
    </row>
    <row r="94" spans="1:32" outlineLevel="1">
      <c r="A94" s="106">
        <v>93</v>
      </c>
      <c r="B94" s="73" t="s">
        <v>145</v>
      </c>
      <c r="C94" s="73"/>
      <c r="D94" s="216"/>
      <c r="E94" s="75" t="s">
        <v>1810</v>
      </c>
      <c r="F94" s="218"/>
      <c r="G94" s="75"/>
      <c r="H94" s="75"/>
      <c r="I94" s="75" t="s">
        <v>1811</v>
      </c>
      <c r="J94" s="76"/>
      <c r="K94" s="77" t="s">
        <v>1592</v>
      </c>
      <c r="L94" s="131"/>
      <c r="M94" s="132"/>
      <c r="N94" s="185"/>
      <c r="O94" s="133"/>
      <c r="P94" s="133"/>
      <c r="Q94" s="134"/>
      <c r="R94" s="133"/>
      <c r="S94" s="133"/>
      <c r="T94" s="106"/>
      <c r="U94" s="106"/>
      <c r="V94" s="106"/>
      <c r="W94" s="73" t="s">
        <v>1558</v>
      </c>
      <c r="X94" s="73"/>
      <c r="Y94" s="73">
        <v>1</v>
      </c>
      <c r="Z94" s="73">
        <v>1</v>
      </c>
      <c r="AA94" s="112"/>
      <c r="AB94" s="112"/>
      <c r="AC94" s="106"/>
      <c r="AD94" s="106"/>
      <c r="AE94" s="2"/>
      <c r="AF94" s="2"/>
    </row>
    <row r="95" spans="1:32" outlineLevel="1">
      <c r="A95" s="106">
        <v>94</v>
      </c>
      <c r="B95" s="73" t="s">
        <v>146</v>
      </c>
      <c r="C95" s="73"/>
      <c r="D95" s="216"/>
      <c r="E95" s="75" t="s">
        <v>1812</v>
      </c>
      <c r="F95" s="218"/>
      <c r="G95" s="75"/>
      <c r="H95" s="75"/>
      <c r="I95" s="75" t="s">
        <v>1813</v>
      </c>
      <c r="J95" s="76"/>
      <c r="K95" s="77" t="s">
        <v>1592</v>
      </c>
      <c r="L95" s="131"/>
      <c r="M95" s="132"/>
      <c r="N95" s="185"/>
      <c r="O95" s="133"/>
      <c r="P95" s="133"/>
      <c r="Q95" s="134"/>
      <c r="R95" s="133"/>
      <c r="S95" s="133"/>
      <c r="T95" s="106"/>
      <c r="U95" s="106"/>
      <c r="V95" s="106"/>
      <c r="W95" s="73" t="s">
        <v>1558</v>
      </c>
      <c r="X95" s="73"/>
      <c r="Y95" s="73">
        <v>1</v>
      </c>
      <c r="Z95" s="73">
        <v>1</v>
      </c>
      <c r="AA95" s="112"/>
      <c r="AB95" s="112"/>
      <c r="AC95" s="106"/>
      <c r="AD95" s="106"/>
      <c r="AE95" s="2"/>
      <c r="AF95" s="2"/>
    </row>
    <row r="96" spans="1:32" ht="24" outlineLevel="1">
      <c r="A96" s="106">
        <v>95</v>
      </c>
      <c r="B96" s="73" t="s">
        <v>1814</v>
      </c>
      <c r="C96" s="73"/>
      <c r="D96" s="216"/>
      <c r="E96" s="75" t="s">
        <v>1815</v>
      </c>
      <c r="F96" s="218"/>
      <c r="G96" s="75"/>
      <c r="H96" s="75"/>
      <c r="I96" s="75" t="s">
        <v>1816</v>
      </c>
      <c r="J96" s="76"/>
      <c r="K96" s="77" t="s">
        <v>1592</v>
      </c>
      <c r="L96" s="107" t="s">
        <v>25</v>
      </c>
      <c r="M96" s="132"/>
      <c r="N96" s="181" t="s">
        <v>133</v>
      </c>
      <c r="O96" s="119" t="s">
        <v>34</v>
      </c>
      <c r="P96" s="120">
        <v>46181</v>
      </c>
      <c r="Q96" s="175" t="s">
        <v>1567</v>
      </c>
      <c r="R96" s="133"/>
      <c r="S96" s="133"/>
      <c r="T96" s="106"/>
      <c r="U96" s="106"/>
      <c r="V96" s="106"/>
      <c r="W96" s="73" t="s">
        <v>2626</v>
      </c>
      <c r="X96" s="73"/>
      <c r="Y96" s="73">
        <v>1</v>
      </c>
      <c r="Z96" s="73">
        <v>1</v>
      </c>
      <c r="AA96" s="112"/>
      <c r="AB96" s="112"/>
      <c r="AC96" s="106"/>
      <c r="AD96" s="106"/>
      <c r="AE96" s="2"/>
      <c r="AF96" s="2"/>
    </row>
    <row r="97" spans="1:32" outlineLevel="1">
      <c r="A97" s="106">
        <v>96</v>
      </c>
      <c r="B97" s="73" t="s">
        <v>1817</v>
      </c>
      <c r="C97" s="73"/>
      <c r="D97" s="216"/>
      <c r="E97" s="75" t="s">
        <v>1818</v>
      </c>
      <c r="F97" s="218"/>
      <c r="G97" s="75"/>
      <c r="H97" s="75"/>
      <c r="I97" s="75" t="s">
        <v>1819</v>
      </c>
      <c r="J97" s="76"/>
      <c r="K97" s="77" t="s">
        <v>1592</v>
      </c>
      <c r="L97" s="131"/>
      <c r="M97" s="132"/>
      <c r="N97" s="185"/>
      <c r="O97" s="133"/>
      <c r="P97" s="133"/>
      <c r="Q97" s="134"/>
      <c r="R97" s="133"/>
      <c r="S97" s="133"/>
      <c r="T97" s="106"/>
      <c r="U97" s="106"/>
      <c r="V97" s="106"/>
      <c r="W97" s="73" t="s">
        <v>1558</v>
      </c>
      <c r="X97" s="73"/>
      <c r="Y97" s="73">
        <v>1</v>
      </c>
      <c r="Z97" s="73">
        <v>1</v>
      </c>
      <c r="AA97" s="111" t="s">
        <v>147</v>
      </c>
      <c r="AB97" s="112"/>
      <c r="AC97" s="106"/>
      <c r="AD97" s="106"/>
      <c r="AE97" s="2"/>
      <c r="AF97" s="2"/>
    </row>
    <row r="98" spans="1:32" s="82" customFormat="1" outlineLevel="1">
      <c r="A98" s="80" t="s">
        <v>1820</v>
      </c>
      <c r="B98" s="136" t="s">
        <v>148</v>
      </c>
      <c r="C98" s="137"/>
      <c r="D98" s="223"/>
      <c r="E98" s="138"/>
      <c r="F98" s="224"/>
      <c r="G98" s="138"/>
      <c r="H98" s="139" t="s">
        <v>149</v>
      </c>
      <c r="I98" s="140"/>
      <c r="J98" s="140"/>
      <c r="K98" s="140"/>
      <c r="L98" s="141"/>
      <c r="M98" s="142"/>
      <c r="N98" s="186"/>
      <c r="O98" s="143"/>
      <c r="P98" s="143"/>
      <c r="Q98" s="144"/>
      <c r="R98" s="143"/>
      <c r="S98" s="143"/>
      <c r="T98" s="137"/>
      <c r="U98" s="137"/>
      <c r="V98" s="137"/>
      <c r="W98" s="137"/>
      <c r="X98" s="137"/>
      <c r="Y98" s="137"/>
      <c r="Z98" s="137"/>
      <c r="AA98" s="139" t="s">
        <v>150</v>
      </c>
      <c r="AB98" s="145"/>
      <c r="AC98" s="137" t="s">
        <v>129</v>
      </c>
      <c r="AD98" s="137" t="s">
        <v>151</v>
      </c>
      <c r="AE98" s="81"/>
      <c r="AF98" s="81"/>
    </row>
    <row r="99" spans="1:32" ht="24" outlineLevel="1">
      <c r="A99" s="106">
        <v>98</v>
      </c>
      <c r="B99" s="73" t="s">
        <v>1821</v>
      </c>
      <c r="C99" s="73"/>
      <c r="D99" s="216"/>
      <c r="E99" s="75" t="s">
        <v>1822</v>
      </c>
      <c r="F99" s="218"/>
      <c r="G99" s="75"/>
      <c r="H99" s="176" t="s">
        <v>1823</v>
      </c>
      <c r="I99" s="75"/>
      <c r="J99" s="76"/>
      <c r="K99" s="77" t="s">
        <v>1592</v>
      </c>
      <c r="L99" s="131"/>
      <c r="M99" s="132"/>
      <c r="N99" s="181" t="s">
        <v>133</v>
      </c>
      <c r="O99" s="133"/>
      <c r="P99" s="133"/>
      <c r="Q99" s="134"/>
      <c r="R99" s="133"/>
      <c r="S99" s="133"/>
      <c r="T99" s="106"/>
      <c r="U99" s="106"/>
      <c r="V99" s="106"/>
      <c r="W99" s="73" t="s">
        <v>1557</v>
      </c>
      <c r="X99" s="73">
        <v>1</v>
      </c>
      <c r="Y99" s="73">
        <v>1</v>
      </c>
      <c r="Z99" s="73"/>
      <c r="AA99" s="111" t="s">
        <v>152</v>
      </c>
      <c r="AB99" s="118"/>
      <c r="AC99" s="106" t="s">
        <v>129</v>
      </c>
      <c r="AD99" s="106" t="s">
        <v>153</v>
      </c>
      <c r="AE99" s="2"/>
      <c r="AF99" s="2"/>
    </row>
    <row r="100" spans="1:32" s="79" customFormat="1">
      <c r="A100" s="80" t="s">
        <v>1763</v>
      </c>
      <c r="B100" s="73" t="s">
        <v>154</v>
      </c>
      <c r="C100" s="74" t="s">
        <v>1824</v>
      </c>
      <c r="D100" s="216"/>
      <c r="E100" s="75" t="s">
        <v>1825</v>
      </c>
      <c r="F100" s="218"/>
      <c r="G100" s="75"/>
      <c r="H100" s="75"/>
      <c r="I100" s="75" t="s">
        <v>1826</v>
      </c>
      <c r="J100" s="76"/>
      <c r="K100" s="77" t="s">
        <v>1827</v>
      </c>
      <c r="L100" s="73"/>
      <c r="M100" s="73"/>
      <c r="N100" s="181" t="s">
        <v>133</v>
      </c>
      <c r="O100" s="73"/>
      <c r="P100" s="73"/>
      <c r="Q100" s="73"/>
      <c r="R100" s="73"/>
      <c r="S100" s="73"/>
      <c r="T100" s="73"/>
      <c r="U100" s="73"/>
      <c r="V100" s="73"/>
      <c r="W100" s="73" t="s">
        <v>2628</v>
      </c>
      <c r="X100" s="73">
        <v>1</v>
      </c>
      <c r="Y100" s="73">
        <v>1</v>
      </c>
      <c r="Z100" s="73"/>
      <c r="AA100" s="73"/>
      <c r="AB100" s="78"/>
      <c r="AC100" s="130"/>
      <c r="AD100" s="130"/>
    </row>
    <row r="101" spans="1:32" outlineLevel="1">
      <c r="A101" s="106">
        <v>100</v>
      </c>
      <c r="B101" s="73" t="s">
        <v>1550</v>
      </c>
      <c r="C101" s="73"/>
      <c r="D101" s="216"/>
      <c r="E101" s="75" t="s">
        <v>1828</v>
      </c>
      <c r="F101" s="218"/>
      <c r="G101" s="75"/>
      <c r="H101" s="75"/>
      <c r="I101" s="75" t="s">
        <v>1829</v>
      </c>
      <c r="J101" s="76"/>
      <c r="K101" s="77" t="s">
        <v>1592</v>
      </c>
      <c r="L101" s="131"/>
      <c r="M101" s="132"/>
      <c r="N101" s="181" t="s">
        <v>133</v>
      </c>
      <c r="O101" s="133"/>
      <c r="P101" s="133"/>
      <c r="Q101" s="134"/>
      <c r="R101" s="133"/>
      <c r="S101" s="133"/>
      <c r="T101" s="106"/>
      <c r="U101" s="106"/>
      <c r="V101" s="106"/>
      <c r="W101" s="73" t="s">
        <v>2628</v>
      </c>
      <c r="X101" s="73">
        <v>1</v>
      </c>
      <c r="Y101" s="73">
        <v>1</v>
      </c>
      <c r="Z101" s="73"/>
      <c r="AA101" s="112"/>
      <c r="AB101" s="118"/>
      <c r="AC101" s="106"/>
      <c r="AD101" s="106"/>
      <c r="AE101" s="2"/>
      <c r="AF101" s="2"/>
    </row>
    <row r="102" spans="1:32" outlineLevel="1">
      <c r="A102" s="106">
        <v>101</v>
      </c>
      <c r="B102" s="73" t="s">
        <v>1551</v>
      </c>
      <c r="C102" s="73"/>
      <c r="D102" s="216"/>
      <c r="E102" s="75" t="s">
        <v>1830</v>
      </c>
      <c r="F102" s="218"/>
      <c r="G102" s="75"/>
      <c r="H102" s="75"/>
      <c r="I102" s="75" t="s">
        <v>1831</v>
      </c>
      <c r="J102" s="76"/>
      <c r="K102" s="77" t="s">
        <v>1592</v>
      </c>
      <c r="L102" s="131"/>
      <c r="M102" s="132"/>
      <c r="N102" s="185"/>
      <c r="O102" s="133"/>
      <c r="P102" s="133"/>
      <c r="Q102" s="134"/>
      <c r="R102" s="133"/>
      <c r="S102" s="133"/>
      <c r="T102" s="106"/>
      <c r="U102" s="106"/>
      <c r="V102" s="106"/>
      <c r="W102" s="73" t="s">
        <v>2629</v>
      </c>
      <c r="X102" s="73">
        <v>1</v>
      </c>
      <c r="Y102" s="73">
        <v>1</v>
      </c>
      <c r="Z102" s="73"/>
      <c r="AA102" s="112"/>
      <c r="AB102" s="118"/>
      <c r="AC102" s="106"/>
      <c r="AD102" s="106"/>
      <c r="AE102" s="2"/>
      <c r="AF102" s="2"/>
    </row>
    <row r="103" spans="1:32" outlineLevel="1">
      <c r="A103" s="106">
        <v>102</v>
      </c>
      <c r="B103" s="73"/>
      <c r="C103" s="73"/>
      <c r="D103" s="216"/>
      <c r="E103" s="75"/>
      <c r="F103" s="218"/>
      <c r="G103" s="75"/>
      <c r="H103" s="75"/>
      <c r="I103" s="75" t="s">
        <v>1832</v>
      </c>
      <c r="J103" s="76"/>
      <c r="K103" s="73"/>
      <c r="L103" s="113"/>
      <c r="M103" s="114"/>
      <c r="N103" s="182"/>
      <c r="O103" s="115"/>
      <c r="P103" s="115"/>
      <c r="Q103" s="116"/>
      <c r="R103" s="115"/>
      <c r="S103" s="115"/>
      <c r="T103" s="106"/>
      <c r="U103" s="106"/>
      <c r="V103" s="106"/>
      <c r="W103" s="73"/>
      <c r="X103" s="73"/>
      <c r="Y103" s="73"/>
      <c r="Z103" s="73"/>
      <c r="AA103" s="111" t="s">
        <v>155</v>
      </c>
      <c r="AB103" s="118"/>
      <c r="AC103" s="106"/>
      <c r="AD103" s="106"/>
      <c r="AE103" s="2"/>
      <c r="AF103" s="2"/>
    </row>
    <row r="104" spans="1:32" outlineLevel="1">
      <c r="A104" s="106">
        <v>103</v>
      </c>
      <c r="B104" s="73" t="s">
        <v>1833</v>
      </c>
      <c r="C104" s="73"/>
      <c r="D104" s="216"/>
      <c r="E104" s="75" t="s">
        <v>1834</v>
      </c>
      <c r="F104" s="218"/>
      <c r="G104" s="75"/>
      <c r="H104" s="75" t="s">
        <v>1835</v>
      </c>
      <c r="I104" s="75"/>
      <c r="J104" s="76"/>
      <c r="K104" s="77" t="s">
        <v>1592</v>
      </c>
      <c r="L104" s="107" t="s">
        <v>25</v>
      </c>
      <c r="M104" s="132"/>
      <c r="N104" s="181" t="s">
        <v>25</v>
      </c>
      <c r="O104" s="109" t="s">
        <v>24</v>
      </c>
      <c r="P104" s="133"/>
      <c r="Q104" s="134"/>
      <c r="R104" s="133"/>
      <c r="S104" s="133"/>
      <c r="T104" s="106"/>
      <c r="U104" s="106"/>
      <c r="V104" s="106"/>
      <c r="W104" s="73" t="s">
        <v>2630</v>
      </c>
      <c r="X104" s="73"/>
      <c r="Y104" s="73">
        <v>1</v>
      </c>
      <c r="Z104" s="73">
        <v>1</v>
      </c>
      <c r="AA104" s="111" t="s">
        <v>156</v>
      </c>
      <c r="AB104" s="118"/>
      <c r="AC104" s="106"/>
      <c r="AD104" s="106"/>
      <c r="AE104" s="2"/>
      <c r="AF104" s="2"/>
    </row>
    <row r="105" spans="1:32" outlineLevel="1">
      <c r="A105" s="106">
        <v>104</v>
      </c>
      <c r="B105" s="73" t="s">
        <v>1836</v>
      </c>
      <c r="C105" s="73"/>
      <c r="D105" s="216"/>
      <c r="E105" s="75" t="s">
        <v>1837</v>
      </c>
      <c r="F105" s="218"/>
      <c r="G105" s="75"/>
      <c r="H105" s="75"/>
      <c r="I105" s="75" t="s">
        <v>1838</v>
      </c>
      <c r="J105" s="76"/>
      <c r="K105" s="77" t="s">
        <v>1827</v>
      </c>
      <c r="L105" s="107" t="s">
        <v>25</v>
      </c>
      <c r="M105" s="132"/>
      <c r="N105" s="185"/>
      <c r="O105" s="119" t="s">
        <v>34</v>
      </c>
      <c r="P105" s="120">
        <v>46181</v>
      </c>
      <c r="Q105" s="175" t="s">
        <v>1568</v>
      </c>
      <c r="R105" s="133"/>
      <c r="S105" s="133"/>
      <c r="T105" s="106"/>
      <c r="U105" s="106"/>
      <c r="V105" s="106"/>
      <c r="W105" s="73" t="s">
        <v>2630</v>
      </c>
      <c r="X105" s="73"/>
      <c r="Y105" s="73">
        <v>1</v>
      </c>
      <c r="Z105" s="73">
        <v>1</v>
      </c>
      <c r="AA105" s="111" t="s">
        <v>157</v>
      </c>
      <c r="AB105" s="118"/>
      <c r="AC105" s="106"/>
      <c r="AD105" s="106"/>
      <c r="AE105" s="2"/>
      <c r="AF105" s="2"/>
    </row>
    <row r="106" spans="1:32" ht="24" outlineLevel="1">
      <c r="A106" s="106">
        <v>105</v>
      </c>
      <c r="B106" s="73" t="s">
        <v>1552</v>
      </c>
      <c r="C106" s="73"/>
      <c r="D106" s="216"/>
      <c r="E106" s="75" t="s">
        <v>1839</v>
      </c>
      <c r="F106" s="218"/>
      <c r="G106" s="75"/>
      <c r="H106" s="75" t="s">
        <v>1840</v>
      </c>
      <c r="I106" s="75"/>
      <c r="J106" s="76"/>
      <c r="K106" s="77" t="s">
        <v>1592</v>
      </c>
      <c r="L106" s="107" t="s">
        <v>25</v>
      </c>
      <c r="M106" s="108"/>
      <c r="N106" s="181" t="s">
        <v>39</v>
      </c>
      <c r="O106" s="109" t="s">
        <v>24</v>
      </c>
      <c r="P106" s="133"/>
      <c r="Q106" s="134"/>
      <c r="R106" s="133"/>
      <c r="S106" s="133"/>
      <c r="T106" s="106"/>
      <c r="U106" s="106"/>
      <c r="V106" s="106"/>
      <c r="W106" s="73" t="s">
        <v>2630</v>
      </c>
      <c r="X106" s="73"/>
      <c r="Y106" s="73">
        <v>1</v>
      </c>
      <c r="Z106" s="73">
        <v>1</v>
      </c>
      <c r="AA106" s="111" t="s">
        <v>158</v>
      </c>
      <c r="AB106" s="118"/>
      <c r="AC106" s="106"/>
      <c r="AD106" s="106"/>
      <c r="AE106" s="2"/>
      <c r="AF106" s="2"/>
    </row>
    <row r="107" spans="1:32" outlineLevel="1">
      <c r="A107" s="106">
        <v>106</v>
      </c>
      <c r="B107" s="73" t="s">
        <v>1841</v>
      </c>
      <c r="C107" s="73"/>
      <c r="D107" s="216"/>
      <c r="E107" s="75" t="s">
        <v>1842</v>
      </c>
      <c r="F107" s="218"/>
      <c r="G107" s="75" t="s">
        <v>1843</v>
      </c>
      <c r="H107" s="75"/>
      <c r="I107" s="75"/>
      <c r="J107" s="76"/>
      <c r="K107" s="77" t="s">
        <v>1592</v>
      </c>
      <c r="L107" s="131"/>
      <c r="M107" s="132"/>
      <c r="N107" s="185"/>
      <c r="O107" s="133"/>
      <c r="P107" s="133"/>
      <c r="Q107" s="134"/>
      <c r="R107" s="133"/>
      <c r="S107" s="133"/>
      <c r="T107" s="106"/>
      <c r="U107" s="106"/>
      <c r="V107" s="106"/>
      <c r="W107" s="73" t="s">
        <v>2629</v>
      </c>
      <c r="X107" s="73">
        <v>1</v>
      </c>
      <c r="Y107" s="73">
        <v>1</v>
      </c>
      <c r="Z107" s="73"/>
      <c r="AA107" s="111" t="s">
        <v>159</v>
      </c>
      <c r="AB107" s="118"/>
      <c r="AC107" s="106" t="s">
        <v>129</v>
      </c>
      <c r="AD107" s="106" t="s">
        <v>160</v>
      </c>
      <c r="AE107" s="2"/>
      <c r="AF107" s="2"/>
    </row>
    <row r="108" spans="1:32" ht="24" outlineLevel="1">
      <c r="A108" s="106">
        <v>107</v>
      </c>
      <c r="B108" s="73" t="s">
        <v>161</v>
      </c>
      <c r="C108" s="73"/>
      <c r="D108" s="216"/>
      <c r="E108" s="75" t="s">
        <v>1844</v>
      </c>
      <c r="F108" s="218"/>
      <c r="G108" s="75"/>
      <c r="H108" s="75" t="s">
        <v>1845</v>
      </c>
      <c r="I108" s="75"/>
      <c r="J108" s="76"/>
      <c r="K108" s="77" t="s">
        <v>1592</v>
      </c>
      <c r="L108" s="131"/>
      <c r="M108" s="132"/>
      <c r="N108" s="185"/>
      <c r="O108" s="133"/>
      <c r="P108" s="133"/>
      <c r="Q108" s="134"/>
      <c r="R108" s="133"/>
      <c r="S108" s="133"/>
      <c r="T108" s="106"/>
      <c r="U108" s="106"/>
      <c r="V108" s="106"/>
      <c r="W108" s="73" t="s">
        <v>2629</v>
      </c>
      <c r="X108" s="73">
        <v>1</v>
      </c>
      <c r="Y108" s="73">
        <v>1</v>
      </c>
      <c r="Z108" s="73"/>
      <c r="AA108" s="111" t="s">
        <v>162</v>
      </c>
      <c r="AB108" s="118"/>
      <c r="AC108" s="106"/>
      <c r="AD108" s="106"/>
      <c r="AE108" s="2"/>
      <c r="AF108" s="2"/>
    </row>
    <row r="109" spans="1:32" outlineLevel="1">
      <c r="A109" s="106">
        <v>108</v>
      </c>
      <c r="B109" s="73" t="s">
        <v>1846</v>
      </c>
      <c r="C109" s="73"/>
      <c r="D109" s="216"/>
      <c r="E109" s="75" t="s">
        <v>1847</v>
      </c>
      <c r="F109" s="218"/>
      <c r="G109" s="75"/>
      <c r="H109" s="75" t="s">
        <v>1848</v>
      </c>
      <c r="I109" s="75"/>
      <c r="J109" s="76"/>
      <c r="K109" s="77" t="s">
        <v>1592</v>
      </c>
      <c r="L109" s="131"/>
      <c r="M109" s="132"/>
      <c r="N109" s="185"/>
      <c r="O109" s="119" t="s">
        <v>34</v>
      </c>
      <c r="P109" s="120">
        <v>46181</v>
      </c>
      <c r="Q109" s="175" t="s">
        <v>1566</v>
      </c>
      <c r="R109" s="133"/>
      <c r="S109" s="133"/>
      <c r="T109" s="106"/>
      <c r="U109" s="106"/>
      <c r="V109" s="106"/>
      <c r="W109" s="73" t="s">
        <v>2629</v>
      </c>
      <c r="X109" s="73">
        <v>1</v>
      </c>
      <c r="Y109" s="73">
        <v>1</v>
      </c>
      <c r="Z109" s="73"/>
      <c r="AA109" s="111" t="s">
        <v>163</v>
      </c>
      <c r="AB109" s="118"/>
      <c r="AC109" s="106" t="s">
        <v>129</v>
      </c>
      <c r="AD109" s="106" t="s">
        <v>160</v>
      </c>
      <c r="AE109" s="2"/>
      <c r="AF109" s="2"/>
    </row>
    <row r="110" spans="1:32" outlineLevel="1">
      <c r="A110" s="106">
        <v>109</v>
      </c>
      <c r="B110" s="73" t="s">
        <v>1849</v>
      </c>
      <c r="C110" s="73"/>
      <c r="D110" s="216"/>
      <c r="E110" s="75" t="s">
        <v>1850</v>
      </c>
      <c r="F110" s="218"/>
      <c r="G110" s="75"/>
      <c r="H110" s="75"/>
      <c r="I110" s="75" t="s">
        <v>1851</v>
      </c>
      <c r="J110" s="76"/>
      <c r="K110" s="77" t="s">
        <v>1592</v>
      </c>
      <c r="L110" s="107" t="s">
        <v>25</v>
      </c>
      <c r="M110" s="132"/>
      <c r="N110" s="181" t="s">
        <v>133</v>
      </c>
      <c r="O110" s="109" t="s">
        <v>24</v>
      </c>
      <c r="P110" s="133"/>
      <c r="Q110" s="134"/>
      <c r="R110" s="133"/>
      <c r="S110" s="133"/>
      <c r="T110" s="106"/>
      <c r="U110" s="106"/>
      <c r="V110" s="106"/>
      <c r="W110" s="73" t="s">
        <v>1557</v>
      </c>
      <c r="X110" s="73">
        <v>1</v>
      </c>
      <c r="Y110" s="73">
        <v>1</v>
      </c>
      <c r="Z110" s="73"/>
      <c r="AA110" s="111" t="s">
        <v>164</v>
      </c>
      <c r="AB110" s="118"/>
      <c r="AC110" s="106" t="s">
        <v>129</v>
      </c>
      <c r="AD110" s="106" t="s">
        <v>160</v>
      </c>
      <c r="AE110" s="2"/>
      <c r="AF110" s="2"/>
    </row>
    <row r="111" spans="1:32" outlineLevel="1">
      <c r="A111" s="106">
        <v>110</v>
      </c>
      <c r="B111" s="73" t="s">
        <v>1852</v>
      </c>
      <c r="C111" s="73"/>
      <c r="D111" s="216"/>
      <c r="E111" s="75" t="s">
        <v>1853</v>
      </c>
      <c r="F111" s="218"/>
      <c r="G111" s="75"/>
      <c r="H111" s="75" t="s">
        <v>1854</v>
      </c>
      <c r="I111" s="75"/>
      <c r="J111" s="76"/>
      <c r="K111" s="77" t="s">
        <v>1592</v>
      </c>
      <c r="L111" s="131"/>
      <c r="M111" s="132"/>
      <c r="N111" s="185"/>
      <c r="O111" s="119" t="s">
        <v>34</v>
      </c>
      <c r="P111" s="120">
        <v>46181</v>
      </c>
      <c r="Q111" s="172" t="s">
        <v>1569</v>
      </c>
      <c r="R111" s="133"/>
      <c r="S111" s="133"/>
      <c r="T111" s="106"/>
      <c r="U111" s="106"/>
      <c r="V111" s="106"/>
      <c r="W111" s="73" t="s">
        <v>2629</v>
      </c>
      <c r="X111" s="73">
        <v>1</v>
      </c>
      <c r="Y111" s="73">
        <v>1</v>
      </c>
      <c r="Z111" s="73"/>
      <c r="AA111" s="112"/>
      <c r="AB111" s="118"/>
      <c r="AC111" s="106"/>
      <c r="AD111" s="106"/>
      <c r="AE111" s="2"/>
      <c r="AF111" s="2"/>
    </row>
    <row r="112" spans="1:32" outlineLevel="1">
      <c r="A112" s="106">
        <v>111</v>
      </c>
      <c r="B112" s="73" t="s">
        <v>1855</v>
      </c>
      <c r="C112" s="73"/>
      <c r="D112" s="216"/>
      <c r="E112" s="75" t="s">
        <v>1856</v>
      </c>
      <c r="F112" s="218"/>
      <c r="G112" s="75"/>
      <c r="H112" s="75" t="s">
        <v>1857</v>
      </c>
      <c r="I112" s="75"/>
      <c r="J112" s="76"/>
      <c r="K112" s="77" t="s">
        <v>1592</v>
      </c>
      <c r="L112" s="131"/>
      <c r="M112" s="132"/>
      <c r="N112" s="185"/>
      <c r="O112" s="119" t="s">
        <v>34</v>
      </c>
      <c r="P112" s="120">
        <v>46181</v>
      </c>
      <c r="Q112" s="175" t="s">
        <v>1566</v>
      </c>
      <c r="R112" s="133"/>
      <c r="S112" s="133"/>
      <c r="T112" s="106"/>
      <c r="U112" s="106"/>
      <c r="V112" s="106"/>
      <c r="W112" s="73" t="s">
        <v>2629</v>
      </c>
      <c r="X112" s="73">
        <v>1</v>
      </c>
      <c r="Y112" s="73">
        <v>3</v>
      </c>
      <c r="Z112" s="73"/>
      <c r="AA112" s="112"/>
      <c r="AB112" s="118"/>
      <c r="AC112" s="106" t="s">
        <v>129</v>
      </c>
      <c r="AD112" s="106" t="s">
        <v>160</v>
      </c>
      <c r="AE112" s="2"/>
      <c r="AF112" s="2"/>
    </row>
    <row r="113" spans="1:32" outlineLevel="1">
      <c r="A113" s="106">
        <v>112</v>
      </c>
      <c r="B113" s="73" t="s">
        <v>1858</v>
      </c>
      <c r="C113" s="73"/>
      <c r="D113" s="216"/>
      <c r="E113" s="75" t="s">
        <v>1859</v>
      </c>
      <c r="F113" s="218"/>
      <c r="G113" s="75"/>
      <c r="H113" s="75" t="s">
        <v>1860</v>
      </c>
      <c r="I113" s="75"/>
      <c r="J113" s="76"/>
      <c r="K113" s="77" t="s">
        <v>1592</v>
      </c>
      <c r="L113" s="131"/>
      <c r="M113" s="132"/>
      <c r="N113" s="185"/>
      <c r="O113" s="119" t="s">
        <v>34</v>
      </c>
      <c r="P113" s="120">
        <v>46181</v>
      </c>
      <c r="Q113" s="175" t="s">
        <v>1566</v>
      </c>
      <c r="R113" s="133"/>
      <c r="S113" s="133"/>
      <c r="T113" s="106"/>
      <c r="U113" s="106"/>
      <c r="V113" s="106"/>
      <c r="W113" s="73" t="s">
        <v>2628</v>
      </c>
      <c r="X113" s="73">
        <v>1</v>
      </c>
      <c r="Y113" s="73">
        <v>1</v>
      </c>
      <c r="Z113" s="73"/>
      <c r="AA113" s="111" t="s">
        <v>165</v>
      </c>
      <c r="AB113" s="118"/>
      <c r="AC113" s="106" t="s">
        <v>129</v>
      </c>
      <c r="AD113" s="106"/>
      <c r="AE113" s="2"/>
      <c r="AF113" s="2"/>
    </row>
    <row r="114" spans="1:32" outlineLevel="1">
      <c r="A114" s="106">
        <v>113</v>
      </c>
      <c r="B114" s="73" t="s">
        <v>1861</v>
      </c>
      <c r="C114" s="73"/>
      <c r="D114" s="216"/>
      <c r="E114" s="75" t="s">
        <v>1862</v>
      </c>
      <c r="F114" s="218"/>
      <c r="G114" s="75"/>
      <c r="H114" s="75"/>
      <c r="I114" s="75" t="s">
        <v>1863</v>
      </c>
      <c r="J114" s="76"/>
      <c r="K114" s="77" t="s">
        <v>1592</v>
      </c>
      <c r="L114" s="131"/>
      <c r="M114" s="132"/>
      <c r="N114" s="185"/>
      <c r="O114" s="119" t="s">
        <v>34</v>
      </c>
      <c r="P114" s="120">
        <v>46181</v>
      </c>
      <c r="Q114" s="175" t="s">
        <v>1566</v>
      </c>
      <c r="R114" s="133"/>
      <c r="S114" s="133"/>
      <c r="T114" s="106"/>
      <c r="U114" s="106"/>
      <c r="V114" s="106"/>
      <c r="W114" s="73" t="s">
        <v>2626</v>
      </c>
      <c r="X114" s="73"/>
      <c r="Y114" s="73">
        <v>1</v>
      </c>
      <c r="Z114" s="73">
        <v>1</v>
      </c>
      <c r="AA114" s="111" t="s">
        <v>166</v>
      </c>
      <c r="AB114" s="118"/>
      <c r="AC114" s="106"/>
      <c r="AD114" s="106"/>
      <c r="AE114" s="2"/>
      <c r="AF114" s="2"/>
    </row>
    <row r="115" spans="1:32" outlineLevel="1">
      <c r="A115" s="106">
        <v>114</v>
      </c>
      <c r="B115" s="73" t="s">
        <v>1864</v>
      </c>
      <c r="C115" s="73"/>
      <c r="D115" s="216"/>
      <c r="E115" s="75" t="s">
        <v>1865</v>
      </c>
      <c r="F115" s="218"/>
      <c r="G115" s="75" t="s">
        <v>1866</v>
      </c>
      <c r="H115" s="75" t="s">
        <v>1867</v>
      </c>
      <c r="I115" s="75"/>
      <c r="J115" s="76"/>
      <c r="K115" s="77" t="s">
        <v>1592</v>
      </c>
      <c r="L115" s="107" t="s">
        <v>25</v>
      </c>
      <c r="M115" s="108"/>
      <c r="N115" s="181" t="s">
        <v>39</v>
      </c>
      <c r="O115" s="109" t="s">
        <v>24</v>
      </c>
      <c r="P115" s="109"/>
      <c r="Q115" s="110"/>
      <c r="R115" s="109"/>
      <c r="S115" s="109"/>
      <c r="T115" s="106"/>
      <c r="U115" s="106"/>
      <c r="V115" s="106"/>
      <c r="W115" s="73" t="s">
        <v>2629</v>
      </c>
      <c r="X115" s="73">
        <v>1</v>
      </c>
      <c r="Y115" s="73">
        <v>1</v>
      </c>
      <c r="Z115" s="73"/>
      <c r="AA115" s="111" t="s">
        <v>167</v>
      </c>
      <c r="AB115" s="118"/>
      <c r="AC115" s="106" t="s">
        <v>168</v>
      </c>
      <c r="AD115" s="106" t="s">
        <v>169</v>
      </c>
      <c r="AE115" s="2"/>
      <c r="AF115" s="2"/>
    </row>
    <row r="116" spans="1:32" outlineLevel="1">
      <c r="A116" s="106">
        <v>115</v>
      </c>
      <c r="B116" s="73" t="s">
        <v>1868</v>
      </c>
      <c r="C116" s="73"/>
      <c r="D116" s="216"/>
      <c r="E116" s="75" t="s">
        <v>1869</v>
      </c>
      <c r="F116" s="218"/>
      <c r="G116" s="75"/>
      <c r="H116" s="75"/>
      <c r="I116" s="75" t="s">
        <v>1870</v>
      </c>
      <c r="J116" s="76"/>
      <c r="K116" s="77" t="s">
        <v>1592</v>
      </c>
      <c r="L116" s="107" t="s">
        <v>25</v>
      </c>
      <c r="M116" s="108"/>
      <c r="N116" s="181"/>
      <c r="O116" s="119" t="s">
        <v>34</v>
      </c>
      <c r="P116" s="120">
        <v>46181</v>
      </c>
      <c r="Q116" s="175" t="s">
        <v>1566</v>
      </c>
      <c r="R116" s="109"/>
      <c r="S116" s="109"/>
      <c r="T116" s="106"/>
      <c r="U116" s="106"/>
      <c r="V116" s="106"/>
      <c r="W116" s="73" t="s">
        <v>1558</v>
      </c>
      <c r="X116" s="73"/>
      <c r="Y116" s="73">
        <v>1</v>
      </c>
      <c r="Z116" s="73">
        <v>1</v>
      </c>
      <c r="AA116" s="111" t="s">
        <v>170</v>
      </c>
      <c r="AB116" s="118"/>
      <c r="AC116" s="106"/>
      <c r="AD116" s="106"/>
      <c r="AE116" s="2"/>
      <c r="AF116" s="2"/>
    </row>
    <row r="117" spans="1:32" outlineLevel="1">
      <c r="A117" s="106">
        <v>116</v>
      </c>
      <c r="B117" s="73" t="s">
        <v>1871</v>
      </c>
      <c r="C117" s="73"/>
      <c r="D117" s="216"/>
      <c r="E117" s="75" t="s">
        <v>1872</v>
      </c>
      <c r="F117" s="218"/>
      <c r="G117" s="75"/>
      <c r="H117" s="75" t="s">
        <v>1873</v>
      </c>
      <c r="I117" s="75"/>
      <c r="J117" s="76"/>
      <c r="K117" s="77" t="s">
        <v>1592</v>
      </c>
      <c r="L117" s="107" t="s">
        <v>25</v>
      </c>
      <c r="M117" s="108"/>
      <c r="N117" s="181"/>
      <c r="O117" s="119" t="s">
        <v>34</v>
      </c>
      <c r="P117" s="120">
        <v>46181</v>
      </c>
      <c r="Q117" s="175" t="s">
        <v>1566</v>
      </c>
      <c r="R117" s="109"/>
      <c r="S117" s="109"/>
      <c r="T117" s="106"/>
      <c r="U117" s="106"/>
      <c r="V117" s="106"/>
      <c r="W117" s="73" t="s">
        <v>2628</v>
      </c>
      <c r="X117" s="73">
        <v>1</v>
      </c>
      <c r="Y117" s="73">
        <v>1</v>
      </c>
      <c r="Z117" s="73"/>
      <c r="AA117" s="112"/>
      <c r="AB117" s="118"/>
      <c r="AC117" s="106"/>
      <c r="AD117" s="106"/>
      <c r="AE117" s="2"/>
      <c r="AF117" s="2"/>
    </row>
    <row r="118" spans="1:32" outlineLevel="1">
      <c r="A118" s="106">
        <v>117</v>
      </c>
      <c r="B118" s="73" t="s">
        <v>1874</v>
      </c>
      <c r="C118" s="73"/>
      <c r="D118" s="216"/>
      <c r="E118" s="75" t="s">
        <v>1875</v>
      </c>
      <c r="F118" s="218"/>
      <c r="G118" s="75" t="s">
        <v>1876</v>
      </c>
      <c r="H118" s="75"/>
      <c r="I118" s="75"/>
      <c r="J118" s="76" t="s">
        <v>1877</v>
      </c>
      <c r="K118" s="77" t="s">
        <v>1592</v>
      </c>
      <c r="L118" s="107" t="s">
        <v>25</v>
      </c>
      <c r="M118" s="132"/>
      <c r="N118" s="181" t="s">
        <v>133</v>
      </c>
      <c r="O118" s="133"/>
      <c r="P118" s="133"/>
      <c r="Q118" s="134"/>
      <c r="R118" s="133"/>
      <c r="S118" s="133"/>
      <c r="T118" s="106"/>
      <c r="U118" s="106"/>
      <c r="V118" s="106"/>
      <c r="W118" s="73" t="s">
        <v>2629</v>
      </c>
      <c r="X118" s="73">
        <v>1</v>
      </c>
      <c r="Y118" s="73">
        <v>1</v>
      </c>
      <c r="Z118" s="73"/>
      <c r="AA118" s="111" t="s">
        <v>173</v>
      </c>
      <c r="AB118" s="118"/>
      <c r="AC118" s="106"/>
      <c r="AD118" s="106"/>
      <c r="AE118" s="2"/>
      <c r="AF118" s="2"/>
    </row>
    <row r="119" spans="1:32" outlineLevel="1">
      <c r="A119" s="106">
        <v>118</v>
      </c>
      <c r="B119" s="73"/>
      <c r="C119" s="73"/>
      <c r="D119" s="216"/>
      <c r="E119" s="75"/>
      <c r="F119" s="218"/>
      <c r="G119" s="75"/>
      <c r="H119" s="75" t="s">
        <v>1878</v>
      </c>
      <c r="I119" s="75"/>
      <c r="J119" s="76"/>
      <c r="K119" s="73"/>
      <c r="L119" s="113"/>
      <c r="M119" s="114"/>
      <c r="N119" s="182"/>
      <c r="O119" s="115"/>
      <c r="P119" s="115"/>
      <c r="Q119" s="116"/>
      <c r="R119" s="115"/>
      <c r="S119" s="115"/>
      <c r="T119" s="106"/>
      <c r="U119" s="106"/>
      <c r="V119" s="106"/>
      <c r="W119" s="73"/>
      <c r="X119" s="73"/>
      <c r="Y119" s="73"/>
      <c r="Z119" s="73"/>
      <c r="AA119" s="112"/>
      <c r="AB119" s="118"/>
      <c r="AC119" s="106"/>
      <c r="AD119" s="106"/>
      <c r="AE119" s="2"/>
      <c r="AF119" s="2"/>
    </row>
    <row r="120" spans="1:32" outlineLevel="1">
      <c r="A120" s="106">
        <v>119</v>
      </c>
      <c r="B120" s="73" t="s">
        <v>1879</v>
      </c>
      <c r="C120" s="73"/>
      <c r="D120" s="216"/>
      <c r="E120" s="75" t="s">
        <v>1880</v>
      </c>
      <c r="F120" s="218"/>
      <c r="G120" s="75" t="s">
        <v>1881</v>
      </c>
      <c r="H120" s="75"/>
      <c r="I120" s="75"/>
      <c r="J120" s="76"/>
      <c r="K120" s="77" t="s">
        <v>1592</v>
      </c>
      <c r="L120" s="131"/>
      <c r="M120" s="132"/>
      <c r="N120" s="185"/>
      <c r="O120" s="133"/>
      <c r="P120" s="133"/>
      <c r="Q120" s="134"/>
      <c r="R120" s="133"/>
      <c r="S120" s="133"/>
      <c r="T120" s="106"/>
      <c r="U120" s="106"/>
      <c r="V120" s="106"/>
      <c r="W120" s="73" t="s">
        <v>2630</v>
      </c>
      <c r="X120" s="73"/>
      <c r="Y120" s="73">
        <v>1</v>
      </c>
      <c r="Z120" s="73">
        <v>1</v>
      </c>
      <c r="AA120" s="111" t="s">
        <v>174</v>
      </c>
      <c r="AB120" s="128" t="s">
        <v>56</v>
      </c>
      <c r="AC120" s="106"/>
      <c r="AD120" s="106"/>
      <c r="AE120" s="2"/>
      <c r="AF120" s="2"/>
    </row>
    <row r="121" spans="1:32" outlineLevel="1">
      <c r="A121" s="106">
        <v>120</v>
      </c>
      <c r="B121" s="73"/>
      <c r="C121" s="73"/>
      <c r="D121" s="216"/>
      <c r="E121" s="75"/>
      <c r="F121" s="218"/>
      <c r="G121" s="75"/>
      <c r="H121" s="75" t="s">
        <v>1878</v>
      </c>
      <c r="I121" s="75"/>
      <c r="J121" s="76"/>
      <c r="K121" s="73"/>
      <c r="L121" s="113"/>
      <c r="M121" s="114"/>
      <c r="N121" s="182"/>
      <c r="O121" s="115"/>
      <c r="P121" s="115"/>
      <c r="Q121" s="116"/>
      <c r="R121" s="115"/>
      <c r="S121" s="115"/>
      <c r="T121" s="106"/>
      <c r="U121" s="106"/>
      <c r="V121" s="106"/>
      <c r="W121" s="73"/>
      <c r="X121" s="73"/>
      <c r="Y121" s="73"/>
      <c r="Z121" s="73"/>
      <c r="AA121" s="112"/>
      <c r="AB121" s="129"/>
      <c r="AC121" s="106"/>
      <c r="AD121" s="106"/>
      <c r="AE121" s="2"/>
      <c r="AF121" s="2"/>
    </row>
    <row r="122" spans="1:32" s="101" customFormat="1">
      <c r="A122" s="106">
        <v>121</v>
      </c>
      <c r="B122" s="83"/>
      <c r="C122" s="83"/>
      <c r="D122" s="220"/>
      <c r="E122" s="84"/>
      <c r="F122" s="221"/>
      <c r="G122" s="84"/>
      <c r="H122" s="84"/>
      <c r="I122" s="84"/>
      <c r="J122" s="84"/>
      <c r="K122" s="83"/>
      <c r="L122" s="121"/>
      <c r="M122" s="122"/>
      <c r="N122" s="183"/>
      <c r="O122" s="123"/>
      <c r="P122" s="123"/>
      <c r="Q122" s="124"/>
      <c r="R122" s="123"/>
      <c r="S122" s="123"/>
      <c r="T122" s="125"/>
      <c r="U122" s="125"/>
      <c r="V122" s="125"/>
      <c r="W122" s="83"/>
      <c r="X122" s="83"/>
      <c r="Y122" s="83"/>
      <c r="Z122" s="83"/>
      <c r="AA122" s="126"/>
      <c r="AB122" s="127"/>
      <c r="AC122" s="125"/>
      <c r="AD122" s="125"/>
      <c r="AE122" s="100"/>
      <c r="AF122" s="100"/>
    </row>
    <row r="123" spans="1:32" outlineLevel="1">
      <c r="A123" s="106">
        <v>122</v>
      </c>
      <c r="B123" s="73" t="s">
        <v>1882</v>
      </c>
      <c r="C123" s="87" t="s">
        <v>1883</v>
      </c>
      <c r="D123" s="216" t="s">
        <v>1884</v>
      </c>
      <c r="E123" s="225" t="s">
        <v>1885</v>
      </c>
      <c r="F123" s="218" t="s">
        <v>1886</v>
      </c>
      <c r="G123" s="75" t="s">
        <v>1887</v>
      </c>
      <c r="H123" s="75"/>
      <c r="I123" s="75"/>
      <c r="J123" s="76"/>
      <c r="K123" s="77" t="s">
        <v>1592</v>
      </c>
      <c r="L123" s="107" t="s">
        <v>25</v>
      </c>
      <c r="M123" s="108"/>
      <c r="N123" s="181" t="s">
        <v>39</v>
      </c>
      <c r="O123" s="109" t="s">
        <v>24</v>
      </c>
      <c r="P123" s="109"/>
      <c r="Q123" s="110"/>
      <c r="R123" s="109"/>
      <c r="S123" s="109"/>
      <c r="T123" s="106"/>
      <c r="U123" s="106"/>
      <c r="V123" s="106"/>
      <c r="W123" s="73" t="s">
        <v>1557</v>
      </c>
      <c r="X123" s="73">
        <v>1</v>
      </c>
      <c r="Y123" s="73">
        <v>3</v>
      </c>
      <c r="Z123" s="73"/>
      <c r="AA123" s="111" t="s">
        <v>176</v>
      </c>
      <c r="AB123" s="118"/>
      <c r="AC123" s="106" t="s">
        <v>177</v>
      </c>
      <c r="AD123" s="106" t="s">
        <v>178</v>
      </c>
      <c r="AE123" s="2"/>
      <c r="AF123" s="2"/>
    </row>
    <row r="124" spans="1:32" outlineLevel="1">
      <c r="A124" s="106">
        <v>123</v>
      </c>
      <c r="B124" s="73" t="s">
        <v>1888</v>
      </c>
      <c r="C124" s="87" t="s">
        <v>1883</v>
      </c>
      <c r="D124" s="216"/>
      <c r="E124" s="225" t="s">
        <v>1889</v>
      </c>
      <c r="F124" s="218"/>
      <c r="G124" s="75"/>
      <c r="H124" s="75" t="s">
        <v>1724</v>
      </c>
      <c r="I124" s="75"/>
      <c r="J124" s="76"/>
      <c r="K124" s="77" t="s">
        <v>1592</v>
      </c>
      <c r="L124" s="113"/>
      <c r="M124" s="114"/>
      <c r="N124" s="181" t="s">
        <v>133</v>
      </c>
      <c r="O124" s="115"/>
      <c r="P124" s="115"/>
      <c r="Q124" s="116"/>
      <c r="R124" s="115"/>
      <c r="S124" s="115"/>
      <c r="T124" s="106"/>
      <c r="U124" s="106"/>
      <c r="V124" s="106"/>
      <c r="W124" s="73" t="s">
        <v>2630</v>
      </c>
      <c r="X124" s="73"/>
      <c r="Y124" s="73">
        <v>3</v>
      </c>
      <c r="Z124" s="73">
        <v>1</v>
      </c>
      <c r="AA124" s="111" t="s">
        <v>179</v>
      </c>
      <c r="AB124" s="118"/>
      <c r="AC124" s="106"/>
      <c r="AD124" s="106"/>
      <c r="AE124" s="2"/>
      <c r="AF124" s="2"/>
    </row>
    <row r="125" spans="1:32" outlineLevel="1">
      <c r="A125" s="106">
        <v>124</v>
      </c>
      <c r="B125" s="73" t="s">
        <v>1890</v>
      </c>
      <c r="C125" s="85" t="s">
        <v>1891</v>
      </c>
      <c r="D125" s="216"/>
      <c r="E125" s="215" t="s">
        <v>1892</v>
      </c>
      <c r="F125" s="218"/>
      <c r="G125" s="75"/>
      <c r="H125" s="75"/>
      <c r="I125" s="75" t="s">
        <v>1893</v>
      </c>
      <c r="J125" s="76"/>
      <c r="K125" s="77" t="s">
        <v>1592</v>
      </c>
      <c r="L125" s="107" t="s">
        <v>25</v>
      </c>
      <c r="M125" s="108"/>
      <c r="N125" s="181"/>
      <c r="O125" s="109" t="s">
        <v>24</v>
      </c>
      <c r="P125" s="109"/>
      <c r="Q125" s="110"/>
      <c r="R125" s="109"/>
      <c r="S125" s="109"/>
      <c r="T125" s="106"/>
      <c r="U125" s="106"/>
      <c r="V125" s="106"/>
      <c r="W125" s="73" t="s">
        <v>2630</v>
      </c>
      <c r="X125" s="73"/>
      <c r="Y125" s="73">
        <v>1</v>
      </c>
      <c r="Z125" s="73">
        <v>1</v>
      </c>
      <c r="AA125" s="111" t="s">
        <v>180</v>
      </c>
      <c r="AB125" s="118"/>
      <c r="AC125" s="106"/>
      <c r="AD125" s="106"/>
      <c r="AE125" s="2"/>
      <c r="AF125" s="2"/>
    </row>
    <row r="126" spans="1:32" outlineLevel="1">
      <c r="A126" s="106">
        <v>125</v>
      </c>
      <c r="B126" s="73" t="s">
        <v>181</v>
      </c>
      <c r="C126" s="85" t="s">
        <v>1891</v>
      </c>
      <c r="D126" s="216"/>
      <c r="E126" s="215" t="s">
        <v>1894</v>
      </c>
      <c r="F126" s="218"/>
      <c r="G126" s="75"/>
      <c r="H126" s="75"/>
      <c r="I126" s="75" t="s">
        <v>1895</v>
      </c>
      <c r="J126" s="76"/>
      <c r="K126" s="77" t="s">
        <v>1592</v>
      </c>
      <c r="L126" s="107"/>
      <c r="M126" s="108"/>
      <c r="N126" s="181"/>
      <c r="O126" s="109" t="s">
        <v>24</v>
      </c>
      <c r="P126" s="109"/>
      <c r="Q126" s="110"/>
      <c r="R126" s="109"/>
      <c r="S126" s="109"/>
      <c r="T126" s="106"/>
      <c r="U126" s="106"/>
      <c r="V126" s="106"/>
      <c r="W126" s="73" t="s">
        <v>1558</v>
      </c>
      <c r="X126" s="73"/>
      <c r="Y126" s="73">
        <v>1</v>
      </c>
      <c r="Z126" s="73">
        <v>1</v>
      </c>
      <c r="AA126" s="111" t="s">
        <v>182</v>
      </c>
      <c r="AB126" s="118"/>
      <c r="AC126" s="106"/>
      <c r="AD126" s="106"/>
      <c r="AE126" s="2"/>
      <c r="AF126" s="2"/>
    </row>
    <row r="127" spans="1:32" outlineLevel="1">
      <c r="A127" s="106">
        <v>126</v>
      </c>
      <c r="B127" s="73" t="s">
        <v>1896</v>
      </c>
      <c r="C127" s="73" t="s">
        <v>1897</v>
      </c>
      <c r="D127" s="216"/>
      <c r="E127" s="215" t="s">
        <v>1580</v>
      </c>
      <c r="F127" s="218"/>
      <c r="G127" s="75"/>
      <c r="H127" s="176" t="s">
        <v>1898</v>
      </c>
      <c r="I127" s="179"/>
      <c r="J127" s="76"/>
      <c r="K127" s="77" t="s">
        <v>1592</v>
      </c>
      <c r="L127" s="107" t="s">
        <v>25</v>
      </c>
      <c r="M127" s="108"/>
      <c r="N127" s="181" t="s">
        <v>39</v>
      </c>
      <c r="O127" s="109" t="s">
        <v>24</v>
      </c>
      <c r="P127" s="109"/>
      <c r="Q127" s="110"/>
      <c r="R127" s="109"/>
      <c r="S127" s="109"/>
      <c r="T127" s="106"/>
      <c r="U127" s="106"/>
      <c r="V127" s="106"/>
      <c r="W127" s="73" t="s">
        <v>2628</v>
      </c>
      <c r="X127" s="73">
        <v>1</v>
      </c>
      <c r="Y127" s="73">
        <v>1</v>
      </c>
      <c r="Z127" s="73"/>
      <c r="AA127" s="111" t="s">
        <v>184</v>
      </c>
      <c r="AB127" s="118"/>
      <c r="AC127" s="106" t="s">
        <v>177</v>
      </c>
      <c r="AD127" s="106" t="s">
        <v>178</v>
      </c>
      <c r="AE127" s="2"/>
      <c r="AF127" s="2"/>
    </row>
    <row r="128" spans="1:32" s="179" customFormat="1" outlineLevel="1">
      <c r="A128" s="106">
        <v>127</v>
      </c>
      <c r="B128" s="73" t="s">
        <v>1896</v>
      </c>
      <c r="C128" s="73"/>
      <c r="D128" s="216"/>
      <c r="E128" s="215" t="s">
        <v>1899</v>
      </c>
      <c r="F128" s="218"/>
      <c r="G128" s="75"/>
      <c r="H128" s="176"/>
      <c r="I128" s="176" t="s">
        <v>1900</v>
      </c>
      <c r="J128" s="76"/>
      <c r="K128" s="77"/>
      <c r="L128" s="107"/>
      <c r="M128" s="108"/>
      <c r="N128" s="181"/>
      <c r="O128" s="109"/>
      <c r="P128" s="109"/>
      <c r="Q128" s="110"/>
      <c r="R128" s="109"/>
      <c r="S128" s="109"/>
      <c r="T128" s="106"/>
      <c r="U128" s="106"/>
      <c r="V128" s="106"/>
      <c r="W128" s="73"/>
      <c r="X128" s="73"/>
      <c r="Y128" s="73"/>
      <c r="Z128" s="73"/>
      <c r="AA128" s="111"/>
      <c r="AB128" s="118"/>
      <c r="AC128" s="106"/>
      <c r="AD128" s="106"/>
      <c r="AE128" s="2"/>
      <c r="AF128" s="2"/>
    </row>
    <row r="129" spans="1:32" outlineLevel="1">
      <c r="A129" s="106">
        <v>128</v>
      </c>
      <c r="B129" s="73" t="s">
        <v>1901</v>
      </c>
      <c r="C129" s="73" t="s">
        <v>1897</v>
      </c>
      <c r="D129" s="216"/>
      <c r="E129" s="215" t="s">
        <v>1902</v>
      </c>
      <c r="F129" s="218"/>
      <c r="G129" s="75"/>
      <c r="H129" s="75"/>
      <c r="I129" s="75" t="s">
        <v>1903</v>
      </c>
      <c r="J129" s="76"/>
      <c r="K129" s="77" t="s">
        <v>1592</v>
      </c>
      <c r="L129" s="107" t="s">
        <v>25</v>
      </c>
      <c r="M129" s="108"/>
      <c r="N129" s="181" t="s">
        <v>39</v>
      </c>
      <c r="O129" s="109" t="s">
        <v>24</v>
      </c>
      <c r="P129" s="109"/>
      <c r="Q129" s="110"/>
      <c r="R129" s="109"/>
      <c r="S129" s="109"/>
      <c r="T129" s="106"/>
      <c r="U129" s="106"/>
      <c r="V129" s="106"/>
      <c r="W129" s="73" t="s">
        <v>2628</v>
      </c>
      <c r="X129" s="73">
        <v>1</v>
      </c>
      <c r="Y129" s="73">
        <v>1</v>
      </c>
      <c r="Z129" s="73"/>
      <c r="AA129" s="112"/>
      <c r="AB129" s="118"/>
      <c r="AC129" s="106"/>
      <c r="AD129" s="106"/>
      <c r="AE129" s="2"/>
      <c r="AF129" s="2"/>
    </row>
    <row r="130" spans="1:32" outlineLevel="1">
      <c r="A130" s="106">
        <v>129</v>
      </c>
      <c r="B130" s="73" t="s">
        <v>1904</v>
      </c>
      <c r="C130" s="73" t="s">
        <v>1897</v>
      </c>
      <c r="D130" s="216"/>
      <c r="E130" s="215" t="s">
        <v>1905</v>
      </c>
      <c r="F130" s="218"/>
      <c r="G130" s="75"/>
      <c r="H130" s="75"/>
      <c r="I130" s="75" t="s">
        <v>1906</v>
      </c>
      <c r="J130" s="76"/>
      <c r="K130" s="77" t="s">
        <v>1592</v>
      </c>
      <c r="L130" s="107" t="s">
        <v>25</v>
      </c>
      <c r="M130" s="108"/>
      <c r="N130" s="181" t="s">
        <v>39</v>
      </c>
      <c r="O130" s="109" t="s">
        <v>24</v>
      </c>
      <c r="P130" s="146">
        <v>46170</v>
      </c>
      <c r="Q130" s="147" t="s">
        <v>185</v>
      </c>
      <c r="R130" s="146">
        <v>46175</v>
      </c>
      <c r="S130" s="146">
        <v>46175</v>
      </c>
      <c r="T130" s="106"/>
      <c r="U130" s="106"/>
      <c r="V130" s="106"/>
      <c r="W130" s="73" t="s">
        <v>2628</v>
      </c>
      <c r="X130" s="73">
        <v>1</v>
      </c>
      <c r="Y130" s="73">
        <v>1</v>
      </c>
      <c r="Z130" s="73"/>
      <c r="AA130" s="111" t="s">
        <v>186</v>
      </c>
      <c r="AB130" s="118"/>
      <c r="AC130" s="106"/>
      <c r="AD130" s="106"/>
      <c r="AE130" s="2"/>
      <c r="AF130" s="2"/>
    </row>
    <row r="131" spans="1:32" outlineLevel="1">
      <c r="A131" s="106">
        <v>130</v>
      </c>
      <c r="B131" s="73" t="s">
        <v>1907</v>
      </c>
      <c r="C131" s="73" t="s">
        <v>1897</v>
      </c>
      <c r="D131" s="216"/>
      <c r="E131" s="75" t="s">
        <v>1908</v>
      </c>
      <c r="F131" s="218"/>
      <c r="G131" s="75"/>
      <c r="H131" s="75"/>
      <c r="I131" s="75" t="s">
        <v>1909</v>
      </c>
      <c r="J131" s="76"/>
      <c r="K131" s="77" t="s">
        <v>1592</v>
      </c>
      <c r="L131" s="107"/>
      <c r="M131" s="108"/>
      <c r="N131" s="181"/>
      <c r="O131" s="109" t="s">
        <v>24</v>
      </c>
      <c r="P131" s="146">
        <v>46170</v>
      </c>
      <c r="Q131" s="147" t="s">
        <v>188</v>
      </c>
      <c r="R131" s="109" t="s">
        <v>116</v>
      </c>
      <c r="S131" s="148">
        <v>46174</v>
      </c>
      <c r="T131" s="106"/>
      <c r="U131" s="106"/>
      <c r="V131" s="106"/>
      <c r="W131" s="73" t="s">
        <v>1557</v>
      </c>
      <c r="X131" s="73">
        <v>1</v>
      </c>
      <c r="Y131" s="73">
        <v>1</v>
      </c>
      <c r="Z131" s="73"/>
      <c r="AA131" s="111" t="s">
        <v>184</v>
      </c>
      <c r="AB131" s="118"/>
      <c r="AC131" s="106" t="s">
        <v>177</v>
      </c>
      <c r="AD131" s="106" t="s">
        <v>178</v>
      </c>
      <c r="AE131" s="2"/>
      <c r="AF131" s="2"/>
    </row>
    <row r="132" spans="1:32" outlineLevel="1">
      <c r="A132" s="106">
        <v>131</v>
      </c>
      <c r="B132" s="73" t="s">
        <v>1758</v>
      </c>
      <c r="C132" s="73"/>
      <c r="D132" s="216"/>
      <c r="E132" s="215" t="s">
        <v>1910</v>
      </c>
      <c r="F132" s="218"/>
      <c r="G132" s="75"/>
      <c r="H132" s="75"/>
      <c r="I132" s="75" t="s">
        <v>1911</v>
      </c>
      <c r="J132" s="76"/>
      <c r="K132" s="77" t="s">
        <v>1592</v>
      </c>
      <c r="L132" s="107"/>
      <c r="M132" s="149"/>
      <c r="N132" s="181"/>
      <c r="O132" s="109" t="s">
        <v>24</v>
      </c>
      <c r="P132" s="146">
        <v>46170</v>
      </c>
      <c r="Q132" s="147" t="s">
        <v>189</v>
      </c>
      <c r="R132" s="146">
        <v>46174</v>
      </c>
      <c r="S132" s="148">
        <v>46174</v>
      </c>
      <c r="T132" s="106"/>
      <c r="U132" s="106"/>
      <c r="V132" s="106"/>
      <c r="W132" s="73"/>
      <c r="X132" s="73"/>
      <c r="Y132" s="73"/>
      <c r="Z132" s="73"/>
      <c r="AA132" s="111" t="s">
        <v>190</v>
      </c>
      <c r="AB132" s="118"/>
      <c r="AC132" s="106"/>
      <c r="AD132" s="106"/>
      <c r="AE132" s="2"/>
      <c r="AF132" s="2"/>
    </row>
    <row r="133" spans="1:32" outlineLevel="1">
      <c r="A133" s="106">
        <v>132</v>
      </c>
      <c r="B133" s="73" t="s">
        <v>1912</v>
      </c>
      <c r="C133" s="73" t="s">
        <v>1897</v>
      </c>
      <c r="D133" s="216"/>
      <c r="E133" s="75" t="s">
        <v>1913</v>
      </c>
      <c r="F133" s="218"/>
      <c r="G133" s="75"/>
      <c r="H133" s="75"/>
      <c r="I133" s="75" t="s">
        <v>1914</v>
      </c>
      <c r="J133" s="76"/>
      <c r="K133" s="77" t="s">
        <v>1592</v>
      </c>
      <c r="L133" s="107"/>
      <c r="M133" s="108"/>
      <c r="N133" s="181"/>
      <c r="O133" s="109" t="s">
        <v>24</v>
      </c>
      <c r="P133" s="146">
        <v>46170</v>
      </c>
      <c r="Q133" s="147" t="s">
        <v>189</v>
      </c>
      <c r="R133" s="146">
        <v>46174</v>
      </c>
      <c r="S133" s="148">
        <v>46174</v>
      </c>
      <c r="T133" s="106"/>
      <c r="U133" s="106"/>
      <c r="V133" s="106"/>
      <c r="W133" s="73" t="s">
        <v>2629</v>
      </c>
      <c r="X133" s="73">
        <v>1</v>
      </c>
      <c r="Y133" s="73">
        <v>1</v>
      </c>
      <c r="Z133" s="73"/>
      <c r="AA133" s="111" t="s">
        <v>191</v>
      </c>
      <c r="AB133" s="118"/>
      <c r="AC133" s="106" t="s">
        <v>177</v>
      </c>
      <c r="AD133" s="106" t="s">
        <v>178</v>
      </c>
      <c r="AE133" s="2"/>
      <c r="AF133" s="2"/>
    </row>
    <row r="134" spans="1:32" outlineLevel="1">
      <c r="A134" s="106">
        <v>133</v>
      </c>
      <c r="B134" s="73" t="s">
        <v>192</v>
      </c>
      <c r="C134" s="73" t="s">
        <v>1897</v>
      </c>
      <c r="D134" s="216"/>
      <c r="E134" s="215" t="s">
        <v>1915</v>
      </c>
      <c r="F134" s="218"/>
      <c r="G134" s="75"/>
      <c r="H134" s="75"/>
      <c r="I134" s="75" t="s">
        <v>1916</v>
      </c>
      <c r="J134" s="76"/>
      <c r="K134" s="77" t="s">
        <v>1592</v>
      </c>
      <c r="L134" s="107" t="s">
        <v>25</v>
      </c>
      <c r="M134" s="108"/>
      <c r="N134" s="181" t="s">
        <v>39</v>
      </c>
      <c r="O134" s="109" t="s">
        <v>24</v>
      </c>
      <c r="P134" s="109"/>
      <c r="Q134" s="110"/>
      <c r="R134" s="109"/>
      <c r="S134" s="109"/>
      <c r="T134" s="106"/>
      <c r="U134" s="106"/>
      <c r="V134" s="106"/>
      <c r="W134" s="73" t="s">
        <v>2629</v>
      </c>
      <c r="X134" s="73">
        <v>1</v>
      </c>
      <c r="Y134" s="73">
        <v>1</v>
      </c>
      <c r="Z134" s="73"/>
      <c r="AA134" s="112"/>
      <c r="AB134" s="118"/>
      <c r="AC134" s="106"/>
      <c r="AD134" s="106"/>
      <c r="AE134" s="2"/>
      <c r="AF134" s="2"/>
    </row>
    <row r="135" spans="1:32" outlineLevel="1">
      <c r="A135" s="106">
        <v>134</v>
      </c>
      <c r="B135" s="73" t="s">
        <v>193</v>
      </c>
      <c r="C135" s="73" t="s">
        <v>1897</v>
      </c>
      <c r="D135" s="216"/>
      <c r="E135" s="75" t="s">
        <v>1917</v>
      </c>
      <c r="F135" s="218"/>
      <c r="G135" s="75"/>
      <c r="H135" s="75"/>
      <c r="I135" s="75" t="s">
        <v>1918</v>
      </c>
      <c r="J135" s="76"/>
      <c r="K135" s="77" t="s">
        <v>1592</v>
      </c>
      <c r="L135" s="107" t="s">
        <v>25</v>
      </c>
      <c r="M135" s="108"/>
      <c r="N135" s="181" t="s">
        <v>39</v>
      </c>
      <c r="O135" s="109" t="s">
        <v>24</v>
      </c>
      <c r="P135" s="109"/>
      <c r="Q135" s="110"/>
      <c r="R135" s="109"/>
      <c r="S135" s="109"/>
      <c r="T135" s="106"/>
      <c r="U135" s="106"/>
      <c r="V135" s="106"/>
      <c r="W135" s="73" t="s">
        <v>1557</v>
      </c>
      <c r="X135" s="73">
        <v>1</v>
      </c>
      <c r="Y135" s="73">
        <v>1</v>
      </c>
      <c r="Z135" s="73"/>
      <c r="AA135" s="112"/>
      <c r="AB135" s="118"/>
      <c r="AC135" s="106"/>
      <c r="AD135" s="106"/>
      <c r="AE135" s="2"/>
      <c r="AF135" s="2"/>
    </row>
    <row r="136" spans="1:32" outlineLevel="1">
      <c r="A136" s="106">
        <v>135</v>
      </c>
      <c r="B136" s="73" t="s">
        <v>1919</v>
      </c>
      <c r="C136" s="73" t="s">
        <v>1897</v>
      </c>
      <c r="D136" s="216"/>
      <c r="E136" s="75" t="s">
        <v>1920</v>
      </c>
      <c r="F136" s="218"/>
      <c r="G136" s="75"/>
      <c r="H136" s="75"/>
      <c r="I136" s="75" t="s">
        <v>1921</v>
      </c>
      <c r="J136" s="76"/>
      <c r="K136" s="77" t="s">
        <v>1592</v>
      </c>
      <c r="L136" s="107"/>
      <c r="M136" s="108"/>
      <c r="N136" s="181">
        <v>46178</v>
      </c>
      <c r="O136" s="109" t="s">
        <v>24</v>
      </c>
      <c r="P136" s="109"/>
      <c r="Q136" s="110"/>
      <c r="R136" s="109"/>
      <c r="S136" s="109"/>
      <c r="T136" s="106"/>
      <c r="U136" s="106"/>
      <c r="V136" s="106"/>
      <c r="W136" s="73" t="s">
        <v>2630</v>
      </c>
      <c r="X136" s="73"/>
      <c r="Y136" s="73">
        <v>1</v>
      </c>
      <c r="Z136" s="73">
        <v>1</v>
      </c>
      <c r="AA136" s="111" t="s">
        <v>194</v>
      </c>
      <c r="AB136" s="118"/>
      <c r="AC136" s="106"/>
      <c r="AD136" s="106"/>
      <c r="AE136" s="2"/>
      <c r="AF136" s="2"/>
    </row>
    <row r="137" spans="1:32" outlineLevel="1">
      <c r="A137" s="106">
        <v>136</v>
      </c>
      <c r="B137" s="73" t="s">
        <v>1922</v>
      </c>
      <c r="C137" s="73" t="s">
        <v>1897</v>
      </c>
      <c r="D137" s="216"/>
      <c r="E137" s="75" t="s">
        <v>1923</v>
      </c>
      <c r="F137" s="218"/>
      <c r="G137" s="75"/>
      <c r="H137" s="75"/>
      <c r="I137" s="150" t="s">
        <v>1924</v>
      </c>
      <c r="J137" s="76"/>
      <c r="K137" s="77" t="s">
        <v>1592</v>
      </c>
      <c r="L137" s="107"/>
      <c r="M137" s="108"/>
      <c r="N137" s="181"/>
      <c r="O137" s="109" t="s">
        <v>24</v>
      </c>
      <c r="P137" s="109"/>
      <c r="Q137" s="110"/>
      <c r="R137" s="109"/>
      <c r="S137" s="109"/>
      <c r="T137" s="106"/>
      <c r="U137" s="106"/>
      <c r="V137" s="106"/>
      <c r="W137" s="73" t="s">
        <v>2626</v>
      </c>
      <c r="X137" s="73"/>
      <c r="Y137" s="73">
        <v>1</v>
      </c>
      <c r="Z137" s="73">
        <v>1</v>
      </c>
      <c r="AA137" s="111" t="s">
        <v>195</v>
      </c>
      <c r="AB137" s="118"/>
      <c r="AC137" s="106"/>
      <c r="AD137" s="106"/>
      <c r="AE137" s="2"/>
      <c r="AF137" s="2"/>
    </row>
    <row r="138" spans="1:32" outlineLevel="1">
      <c r="A138" s="106">
        <v>137</v>
      </c>
      <c r="B138" s="73" t="s">
        <v>1925</v>
      </c>
      <c r="C138" s="73" t="s">
        <v>1897</v>
      </c>
      <c r="D138" s="216"/>
      <c r="E138" s="215" t="s">
        <v>1926</v>
      </c>
      <c r="F138" s="218"/>
      <c r="G138" s="75"/>
      <c r="H138" s="176" t="s">
        <v>1927</v>
      </c>
      <c r="I138" s="75" t="s">
        <v>1900</v>
      </c>
      <c r="J138" s="76"/>
      <c r="K138" s="77" t="s">
        <v>1592</v>
      </c>
      <c r="L138" s="107"/>
      <c r="M138" s="108"/>
      <c r="N138" s="181"/>
      <c r="O138" s="109" t="s">
        <v>24</v>
      </c>
      <c r="P138" s="109"/>
      <c r="Q138" s="110"/>
      <c r="R138" s="109"/>
      <c r="S138" s="109"/>
      <c r="T138" s="106"/>
      <c r="U138" s="106"/>
      <c r="V138" s="106"/>
      <c r="W138" s="73" t="s">
        <v>2629</v>
      </c>
      <c r="X138" s="73">
        <v>1</v>
      </c>
      <c r="Y138" s="73">
        <v>1</v>
      </c>
      <c r="Z138" s="73"/>
      <c r="AA138" s="111" t="s">
        <v>184</v>
      </c>
      <c r="AB138" s="118"/>
      <c r="AC138" s="106" t="s">
        <v>177</v>
      </c>
      <c r="AD138" s="106" t="s">
        <v>178</v>
      </c>
      <c r="AE138" s="2"/>
      <c r="AF138" s="2"/>
    </row>
    <row r="139" spans="1:32" outlineLevel="1">
      <c r="A139" s="106">
        <v>138</v>
      </c>
      <c r="B139" s="73" t="s">
        <v>1758</v>
      </c>
      <c r="C139" s="73"/>
      <c r="D139" s="216"/>
      <c r="E139" s="226" t="s">
        <v>1928</v>
      </c>
      <c r="F139" s="218"/>
      <c r="G139" s="75"/>
      <c r="H139" s="75"/>
      <c r="I139" s="75" t="s">
        <v>1929</v>
      </c>
      <c r="J139" s="76"/>
      <c r="K139" s="73"/>
      <c r="L139" s="113" t="s">
        <v>116</v>
      </c>
      <c r="M139" s="114"/>
      <c r="N139" s="182"/>
      <c r="O139" s="115"/>
      <c r="P139" s="115"/>
      <c r="Q139" s="116"/>
      <c r="R139" s="115"/>
      <c r="S139" s="115"/>
      <c r="T139" s="106"/>
      <c r="U139" s="106"/>
      <c r="V139" s="106"/>
      <c r="W139" s="73"/>
      <c r="X139" s="73"/>
      <c r="Y139" s="73">
        <v>1</v>
      </c>
      <c r="Z139" s="73"/>
      <c r="AA139" s="111" t="s">
        <v>196</v>
      </c>
      <c r="AB139" s="118"/>
      <c r="AC139" s="106"/>
      <c r="AD139" s="106"/>
      <c r="AE139" s="2"/>
      <c r="AF139" s="2"/>
    </row>
    <row r="140" spans="1:32" outlineLevel="1">
      <c r="A140" s="106">
        <v>139</v>
      </c>
      <c r="B140" s="73" t="s">
        <v>1758</v>
      </c>
      <c r="C140" s="73"/>
      <c r="D140" s="216"/>
      <c r="E140" s="226" t="s">
        <v>1930</v>
      </c>
      <c r="F140" s="218"/>
      <c r="G140" s="75"/>
      <c r="H140" s="75"/>
      <c r="I140" s="75" t="s">
        <v>187</v>
      </c>
      <c r="J140" s="76"/>
      <c r="K140" s="73"/>
      <c r="L140" s="113" t="s">
        <v>116</v>
      </c>
      <c r="M140" s="114"/>
      <c r="N140" s="182"/>
      <c r="O140" s="115"/>
      <c r="P140" s="115"/>
      <c r="Q140" s="116"/>
      <c r="R140" s="115"/>
      <c r="S140" s="115"/>
      <c r="T140" s="106"/>
      <c r="U140" s="106"/>
      <c r="V140" s="106"/>
      <c r="W140" s="73"/>
      <c r="X140" s="73"/>
      <c r="Y140" s="73">
        <v>1</v>
      </c>
      <c r="Z140" s="73"/>
      <c r="AA140" s="111" t="s">
        <v>197</v>
      </c>
      <c r="AB140" s="118"/>
      <c r="AC140" s="106" t="s">
        <v>177</v>
      </c>
      <c r="AD140" s="106" t="s">
        <v>178</v>
      </c>
      <c r="AE140" s="2"/>
      <c r="AF140" s="2"/>
    </row>
    <row r="141" spans="1:32" outlineLevel="1">
      <c r="A141" s="106">
        <v>140</v>
      </c>
      <c r="B141" s="73" t="s">
        <v>1758</v>
      </c>
      <c r="C141" s="73"/>
      <c r="D141" s="216"/>
      <c r="E141" s="226" t="s">
        <v>1931</v>
      </c>
      <c r="F141" s="218"/>
      <c r="G141" s="75"/>
      <c r="H141" s="75"/>
      <c r="I141" s="75" t="s">
        <v>1914</v>
      </c>
      <c r="J141" s="76"/>
      <c r="K141" s="73"/>
      <c r="L141" s="113" t="s">
        <v>116</v>
      </c>
      <c r="M141" s="114"/>
      <c r="N141" s="182"/>
      <c r="O141" s="115"/>
      <c r="P141" s="115"/>
      <c r="Q141" s="116"/>
      <c r="R141" s="115"/>
      <c r="S141" s="115"/>
      <c r="T141" s="106"/>
      <c r="U141" s="106"/>
      <c r="V141" s="106"/>
      <c r="W141" s="73"/>
      <c r="X141" s="73"/>
      <c r="Y141" s="73">
        <v>1</v>
      </c>
      <c r="Z141" s="73"/>
      <c r="AA141" s="111" t="s">
        <v>197</v>
      </c>
      <c r="AB141" s="118"/>
      <c r="AC141" s="106" t="s">
        <v>177</v>
      </c>
      <c r="AD141" s="106" t="s">
        <v>178</v>
      </c>
      <c r="AE141" s="2"/>
      <c r="AF141" s="2"/>
    </row>
    <row r="142" spans="1:32" outlineLevel="1">
      <c r="A142" s="106">
        <v>141</v>
      </c>
      <c r="B142" s="73" t="s">
        <v>1758</v>
      </c>
      <c r="C142" s="73"/>
      <c r="D142" s="216"/>
      <c r="E142" s="227" t="s">
        <v>1932</v>
      </c>
      <c r="F142" s="218"/>
      <c r="G142" s="75"/>
      <c r="H142" s="75"/>
      <c r="I142" s="75" t="s">
        <v>1918</v>
      </c>
      <c r="J142" s="76"/>
      <c r="K142" s="73"/>
      <c r="L142" s="113" t="s">
        <v>116</v>
      </c>
      <c r="M142" s="114"/>
      <c r="N142" s="182"/>
      <c r="O142" s="115"/>
      <c r="P142" s="115"/>
      <c r="Q142" s="116"/>
      <c r="R142" s="115"/>
      <c r="S142" s="115"/>
      <c r="T142" s="106"/>
      <c r="U142" s="106"/>
      <c r="V142" s="106"/>
      <c r="W142" s="73"/>
      <c r="X142" s="73"/>
      <c r="Y142" s="73">
        <v>1</v>
      </c>
      <c r="Z142" s="73"/>
      <c r="AA142" s="112"/>
      <c r="AB142" s="118"/>
      <c r="AC142" s="106"/>
      <c r="AD142" s="106"/>
      <c r="AE142" s="2"/>
      <c r="AF142" s="2"/>
    </row>
    <row r="143" spans="1:32" s="79" customFormat="1" ht="27.6" customHeight="1">
      <c r="A143" s="80" t="s">
        <v>1763</v>
      </c>
      <c r="B143" s="74" t="s">
        <v>1933</v>
      </c>
      <c r="C143" s="74" t="s">
        <v>1934</v>
      </c>
      <c r="D143" s="216"/>
      <c r="E143" s="227" t="s">
        <v>1935</v>
      </c>
      <c r="F143" s="218"/>
      <c r="G143" s="75"/>
      <c r="H143" s="75"/>
      <c r="I143" s="150" t="s">
        <v>1936</v>
      </c>
      <c r="J143" s="76"/>
      <c r="K143" s="77" t="s">
        <v>1592</v>
      </c>
      <c r="L143" s="73"/>
      <c r="M143" s="73"/>
      <c r="N143" s="184"/>
      <c r="O143" s="73"/>
      <c r="P143" s="73"/>
      <c r="Q143" s="73"/>
      <c r="R143" s="73"/>
      <c r="S143" s="73"/>
      <c r="T143" s="73"/>
      <c r="U143" s="73"/>
      <c r="V143" s="73"/>
      <c r="W143" s="73" t="s">
        <v>2630</v>
      </c>
      <c r="X143" s="73"/>
      <c r="Y143" s="73">
        <v>3</v>
      </c>
      <c r="Z143" s="73">
        <v>1</v>
      </c>
      <c r="AA143" s="73"/>
      <c r="AB143" s="78"/>
      <c r="AC143" s="130"/>
      <c r="AD143" s="130"/>
    </row>
    <row r="144" spans="1:32" outlineLevel="1">
      <c r="A144" s="106">
        <v>143</v>
      </c>
      <c r="B144" s="73" t="s">
        <v>1937</v>
      </c>
      <c r="C144" s="85" t="s">
        <v>1891</v>
      </c>
      <c r="D144" s="216"/>
      <c r="E144" s="215" t="s">
        <v>1938</v>
      </c>
      <c r="F144" s="218"/>
      <c r="G144" s="75"/>
      <c r="H144" s="75" t="s">
        <v>1898</v>
      </c>
      <c r="I144" s="75"/>
      <c r="J144" s="76"/>
      <c r="K144" s="77" t="s">
        <v>1827</v>
      </c>
      <c r="L144" s="107"/>
      <c r="M144" s="108"/>
      <c r="N144" s="181"/>
      <c r="O144" s="109" t="s">
        <v>24</v>
      </c>
      <c r="P144" s="109"/>
      <c r="Q144" s="110"/>
      <c r="R144" s="109"/>
      <c r="S144" s="109"/>
      <c r="T144" s="106"/>
      <c r="U144" s="106"/>
      <c r="V144" s="106"/>
      <c r="W144" s="73" t="s">
        <v>2628</v>
      </c>
      <c r="X144" s="73">
        <v>1</v>
      </c>
      <c r="Y144" s="73">
        <v>1</v>
      </c>
      <c r="Z144" s="73"/>
      <c r="AA144" s="111" t="s">
        <v>198</v>
      </c>
      <c r="AB144" s="118"/>
      <c r="AC144" s="106"/>
      <c r="AD144" s="106"/>
      <c r="AE144" s="2"/>
      <c r="AF144" s="2"/>
    </row>
    <row r="145" spans="1:32" outlineLevel="1">
      <c r="A145" s="106">
        <v>144</v>
      </c>
      <c r="B145" s="73" t="s">
        <v>1939</v>
      </c>
      <c r="C145" s="85" t="s">
        <v>1891</v>
      </c>
      <c r="D145" s="216"/>
      <c r="E145" s="75"/>
      <c r="F145" s="218"/>
      <c r="G145" s="75"/>
      <c r="H145" s="75"/>
      <c r="I145" s="75" t="s">
        <v>1940</v>
      </c>
      <c r="J145" s="76"/>
      <c r="K145" s="73"/>
      <c r="L145" s="113"/>
      <c r="M145" s="114"/>
      <c r="N145" s="182"/>
      <c r="O145" s="115"/>
      <c r="P145" s="115"/>
      <c r="Q145" s="116"/>
      <c r="R145" s="115"/>
      <c r="S145" s="115"/>
      <c r="T145" s="106"/>
      <c r="U145" s="106"/>
      <c r="V145" s="106"/>
      <c r="W145" s="73"/>
      <c r="X145" s="73"/>
      <c r="Y145" s="73"/>
      <c r="Z145" s="73"/>
      <c r="AA145" s="112"/>
      <c r="AB145" s="118"/>
      <c r="AC145" s="106"/>
      <c r="AD145" s="106"/>
      <c r="AE145" s="2"/>
      <c r="AF145" s="2"/>
    </row>
    <row r="146" spans="1:32" outlineLevel="1">
      <c r="A146" s="106">
        <v>145</v>
      </c>
      <c r="B146" s="73" t="s">
        <v>1941</v>
      </c>
      <c r="C146" s="85" t="s">
        <v>1942</v>
      </c>
      <c r="D146" s="216"/>
      <c r="E146" s="215" t="s">
        <v>1943</v>
      </c>
      <c r="F146" s="218"/>
      <c r="G146" s="75"/>
      <c r="H146" s="75"/>
      <c r="I146" s="75" t="s">
        <v>1944</v>
      </c>
      <c r="J146" s="76"/>
      <c r="K146" s="77" t="s">
        <v>1592</v>
      </c>
      <c r="L146" s="107"/>
      <c r="M146" s="108"/>
      <c r="N146" s="181"/>
      <c r="O146" s="109" t="s">
        <v>24</v>
      </c>
      <c r="P146" s="109"/>
      <c r="Q146" s="110"/>
      <c r="R146" s="109"/>
      <c r="S146" s="109"/>
      <c r="T146" s="106"/>
      <c r="U146" s="106"/>
      <c r="V146" s="106"/>
      <c r="W146" s="73" t="s">
        <v>2629</v>
      </c>
      <c r="X146" s="73">
        <v>1</v>
      </c>
      <c r="Y146" s="73">
        <v>1</v>
      </c>
      <c r="Z146" s="73"/>
      <c r="AA146" s="111" t="s">
        <v>199</v>
      </c>
      <c r="AB146" s="118"/>
      <c r="AC146" s="106"/>
      <c r="AD146" s="106"/>
      <c r="AE146" s="2"/>
      <c r="AF146" s="2"/>
    </row>
    <row r="147" spans="1:32" outlineLevel="1">
      <c r="A147" s="106">
        <v>146</v>
      </c>
      <c r="B147" s="73" t="s">
        <v>1945</v>
      </c>
      <c r="C147" s="85" t="s">
        <v>1891</v>
      </c>
      <c r="D147" s="216"/>
      <c r="E147" s="226" t="s">
        <v>1946</v>
      </c>
      <c r="F147" s="218"/>
      <c r="G147" s="75"/>
      <c r="H147" s="75"/>
      <c r="I147" s="75" t="s">
        <v>1947</v>
      </c>
      <c r="J147" s="76"/>
      <c r="K147" s="77" t="s">
        <v>1592</v>
      </c>
      <c r="L147" s="107" t="s">
        <v>25</v>
      </c>
      <c r="M147" s="108"/>
      <c r="N147" s="181"/>
      <c r="O147" s="109" t="s">
        <v>24</v>
      </c>
      <c r="P147" s="109"/>
      <c r="Q147" s="110"/>
      <c r="R147" s="109"/>
      <c r="S147" s="109"/>
      <c r="T147" s="106"/>
      <c r="U147" s="106"/>
      <c r="V147" s="106"/>
      <c r="W147" s="73" t="s">
        <v>2630</v>
      </c>
      <c r="X147" s="73"/>
      <c r="Y147" s="73">
        <v>1</v>
      </c>
      <c r="Z147" s="73">
        <v>1</v>
      </c>
      <c r="AA147" s="111" t="s">
        <v>199</v>
      </c>
      <c r="AB147" s="118"/>
      <c r="AC147" s="106"/>
      <c r="AD147" s="106"/>
      <c r="AE147" s="2"/>
      <c r="AF147" s="2"/>
    </row>
    <row r="148" spans="1:32" outlineLevel="1">
      <c r="A148" s="106">
        <v>147</v>
      </c>
      <c r="B148" s="73" t="s">
        <v>1948</v>
      </c>
      <c r="C148" s="85" t="s">
        <v>1891</v>
      </c>
      <c r="D148" s="216"/>
      <c r="E148" s="226" t="s">
        <v>1949</v>
      </c>
      <c r="F148" s="218"/>
      <c r="G148" s="75"/>
      <c r="H148" s="75"/>
      <c r="I148" s="75" t="s">
        <v>1950</v>
      </c>
      <c r="J148" s="76"/>
      <c r="K148" s="77" t="s">
        <v>1592</v>
      </c>
      <c r="L148" s="107" t="s">
        <v>25</v>
      </c>
      <c r="M148" s="108"/>
      <c r="N148" s="181"/>
      <c r="O148" s="109" t="s">
        <v>24</v>
      </c>
      <c r="P148" s="109"/>
      <c r="Q148" s="110"/>
      <c r="R148" s="109"/>
      <c r="S148" s="109"/>
      <c r="T148" s="106"/>
      <c r="U148" s="106"/>
      <c r="V148" s="106"/>
      <c r="W148" s="73" t="s">
        <v>1557</v>
      </c>
      <c r="X148" s="73">
        <v>1</v>
      </c>
      <c r="Y148" s="73">
        <v>1</v>
      </c>
      <c r="Z148" s="73"/>
      <c r="AA148" s="112"/>
      <c r="AB148" s="118"/>
      <c r="AC148" s="106"/>
      <c r="AD148" s="106"/>
      <c r="AE148" s="2"/>
      <c r="AF148" s="2"/>
    </row>
    <row r="149" spans="1:32" outlineLevel="1">
      <c r="A149" s="106">
        <v>148</v>
      </c>
      <c r="B149" s="73"/>
      <c r="C149" s="85"/>
      <c r="D149" s="216"/>
      <c r="E149" s="226" t="s">
        <v>1951</v>
      </c>
      <c r="F149" s="218"/>
      <c r="G149" s="75"/>
      <c r="H149" s="75"/>
      <c r="I149" s="75" t="s">
        <v>1952</v>
      </c>
      <c r="J149" s="76"/>
      <c r="K149" s="77" t="s">
        <v>1592</v>
      </c>
      <c r="L149" s="107" t="s">
        <v>25</v>
      </c>
      <c r="M149" s="108"/>
      <c r="N149" s="181"/>
      <c r="O149" s="109" t="s">
        <v>24</v>
      </c>
      <c r="P149" s="109"/>
      <c r="Q149" s="110"/>
      <c r="R149" s="109"/>
      <c r="S149" s="109"/>
      <c r="T149" s="106"/>
      <c r="U149" s="106"/>
      <c r="V149" s="106"/>
      <c r="W149" s="73" t="s">
        <v>1557</v>
      </c>
      <c r="X149" s="73"/>
      <c r="Y149" s="73">
        <v>1</v>
      </c>
      <c r="Z149" s="73"/>
      <c r="AA149" s="112"/>
      <c r="AB149" s="118"/>
      <c r="AC149" s="106"/>
      <c r="AD149" s="106"/>
      <c r="AE149" s="2"/>
      <c r="AF149" s="2"/>
    </row>
    <row r="150" spans="1:32" outlineLevel="1">
      <c r="A150" s="106">
        <v>149</v>
      </c>
      <c r="B150" s="73"/>
      <c r="C150" s="85"/>
      <c r="D150" s="216"/>
      <c r="E150" s="226" t="s">
        <v>1953</v>
      </c>
      <c r="F150" s="218"/>
      <c r="G150" s="75"/>
      <c r="H150" s="75"/>
      <c r="I150" s="75" t="s">
        <v>1954</v>
      </c>
      <c r="J150" s="76"/>
      <c r="K150" s="77" t="s">
        <v>1955</v>
      </c>
      <c r="L150" s="107" t="s">
        <v>25</v>
      </c>
      <c r="M150" s="108"/>
      <c r="N150" s="181"/>
      <c r="O150" s="109" t="s">
        <v>24</v>
      </c>
      <c r="P150" s="109"/>
      <c r="Q150" s="110"/>
      <c r="R150" s="109"/>
      <c r="S150" s="109"/>
      <c r="T150" s="106"/>
      <c r="U150" s="106"/>
      <c r="V150" s="106"/>
      <c r="W150" s="73" t="s">
        <v>2631</v>
      </c>
      <c r="X150" s="73"/>
      <c r="Y150" s="73">
        <v>1</v>
      </c>
      <c r="Z150" s="73"/>
      <c r="AA150" s="112"/>
      <c r="AB150" s="118"/>
      <c r="AC150" s="106"/>
      <c r="AD150" s="106"/>
      <c r="AE150" s="2"/>
      <c r="AF150" s="2"/>
    </row>
    <row r="151" spans="1:32" outlineLevel="1">
      <c r="A151" s="106">
        <v>150</v>
      </c>
      <c r="B151" s="73" t="s">
        <v>1956</v>
      </c>
      <c r="C151" s="85" t="s">
        <v>1891</v>
      </c>
      <c r="D151" s="216"/>
      <c r="E151" s="226" t="s">
        <v>1957</v>
      </c>
      <c r="F151" s="218"/>
      <c r="G151" s="75"/>
      <c r="H151" s="75"/>
      <c r="I151" s="75" t="s">
        <v>1958</v>
      </c>
      <c r="J151" s="76"/>
      <c r="K151" s="77" t="s">
        <v>1592</v>
      </c>
      <c r="L151" s="107" t="s">
        <v>25</v>
      </c>
      <c r="M151" s="108"/>
      <c r="N151" s="181"/>
      <c r="O151" s="109" t="s">
        <v>24</v>
      </c>
      <c r="P151" s="109"/>
      <c r="Q151" s="110"/>
      <c r="R151" s="109"/>
      <c r="S151" s="109"/>
      <c r="T151" s="106"/>
      <c r="U151" s="106"/>
      <c r="V151" s="106"/>
      <c r="W151" s="73" t="s">
        <v>2630</v>
      </c>
      <c r="X151" s="73"/>
      <c r="Y151" s="73">
        <v>1</v>
      </c>
      <c r="Z151" s="73">
        <v>1</v>
      </c>
      <c r="AA151" s="112"/>
      <c r="AB151" s="118"/>
      <c r="AC151" s="106"/>
      <c r="AD151" s="106"/>
      <c r="AE151" s="2"/>
      <c r="AF151" s="2"/>
    </row>
    <row r="152" spans="1:32" s="101" customFormat="1">
      <c r="A152" s="106">
        <v>151</v>
      </c>
      <c r="B152" s="83"/>
      <c r="C152" s="83"/>
      <c r="D152" s="220"/>
      <c r="E152" s="84"/>
      <c r="F152" s="221"/>
      <c r="G152" s="84"/>
      <c r="H152" s="84"/>
      <c r="I152" s="84"/>
      <c r="J152" s="84"/>
      <c r="K152" s="83"/>
      <c r="L152" s="121"/>
      <c r="M152" s="122"/>
      <c r="N152" s="183"/>
      <c r="O152" s="123"/>
      <c r="P152" s="123"/>
      <c r="Q152" s="124"/>
      <c r="R152" s="123"/>
      <c r="S152" s="123"/>
      <c r="T152" s="125"/>
      <c r="U152" s="125"/>
      <c r="V152" s="125"/>
      <c r="W152" s="83"/>
      <c r="X152" s="83"/>
      <c r="Y152" s="83"/>
      <c r="Z152" s="83"/>
      <c r="AA152" s="126"/>
      <c r="AB152" s="127"/>
      <c r="AC152" s="125"/>
      <c r="AD152" s="125"/>
      <c r="AE152" s="100"/>
      <c r="AF152" s="100"/>
    </row>
    <row r="153" spans="1:32" outlineLevel="1">
      <c r="A153" s="106">
        <v>152</v>
      </c>
      <c r="B153" s="73" t="s">
        <v>1959</v>
      </c>
      <c r="C153" s="87" t="s">
        <v>1883</v>
      </c>
      <c r="D153" s="216" t="s">
        <v>1960</v>
      </c>
      <c r="E153" s="226" t="s">
        <v>1961</v>
      </c>
      <c r="F153" s="218" t="s">
        <v>1962</v>
      </c>
      <c r="G153" s="75" t="s">
        <v>1963</v>
      </c>
      <c r="H153" s="75"/>
      <c r="I153" s="75"/>
      <c r="J153" s="76"/>
      <c r="K153" s="77" t="s">
        <v>1955</v>
      </c>
      <c r="L153" s="107" t="s">
        <v>25</v>
      </c>
      <c r="M153" s="108"/>
      <c r="N153" s="181" t="s">
        <v>39</v>
      </c>
      <c r="O153" s="109" t="s">
        <v>24</v>
      </c>
      <c r="P153" s="109"/>
      <c r="Q153" s="110"/>
      <c r="R153" s="109"/>
      <c r="S153" s="109"/>
      <c r="T153" s="106"/>
      <c r="U153" s="106"/>
      <c r="V153" s="106"/>
      <c r="W153" s="73" t="s">
        <v>2629</v>
      </c>
      <c r="X153" s="73">
        <v>1</v>
      </c>
      <c r="Y153" s="73">
        <v>1</v>
      </c>
      <c r="Z153" s="73"/>
      <c r="AA153" s="111" t="s">
        <v>203</v>
      </c>
      <c r="AB153" s="118"/>
      <c r="AC153" s="106" t="s">
        <v>204</v>
      </c>
      <c r="AD153" s="106" t="s">
        <v>205</v>
      </c>
      <c r="AE153" s="2"/>
      <c r="AF153" s="2"/>
    </row>
    <row r="154" spans="1:32" outlineLevel="1">
      <c r="A154" s="106">
        <v>153</v>
      </c>
      <c r="B154" s="73" t="s">
        <v>1964</v>
      </c>
      <c r="C154" s="73" t="s">
        <v>1897</v>
      </c>
      <c r="D154" s="216"/>
      <c r="E154" s="226" t="s">
        <v>1965</v>
      </c>
      <c r="F154" s="218"/>
      <c r="G154" s="75"/>
      <c r="H154" s="75" t="s">
        <v>1966</v>
      </c>
      <c r="I154" s="75"/>
      <c r="J154" s="76" t="s">
        <v>1967</v>
      </c>
      <c r="K154" s="77" t="s">
        <v>1592</v>
      </c>
      <c r="L154" s="107" t="s">
        <v>25</v>
      </c>
      <c r="M154" s="108"/>
      <c r="N154" s="181" t="s">
        <v>39</v>
      </c>
      <c r="O154" s="109" t="s">
        <v>24</v>
      </c>
      <c r="P154" s="109"/>
      <c r="Q154" s="110"/>
      <c r="R154" s="109"/>
      <c r="S154" s="109"/>
      <c r="T154" s="106"/>
      <c r="U154" s="106"/>
      <c r="V154" s="106"/>
      <c r="W154" s="73" t="s">
        <v>2629</v>
      </c>
      <c r="X154" s="73">
        <v>1</v>
      </c>
      <c r="Y154" s="73">
        <v>1</v>
      </c>
      <c r="Z154" s="73"/>
      <c r="AA154" s="111" t="s">
        <v>206</v>
      </c>
      <c r="AB154" s="118"/>
      <c r="AC154" s="106"/>
      <c r="AD154" s="106"/>
      <c r="AE154" s="2"/>
      <c r="AF154" s="2"/>
    </row>
    <row r="155" spans="1:32" outlineLevel="1">
      <c r="A155" s="106">
        <v>154</v>
      </c>
      <c r="B155" s="73" t="s">
        <v>1968</v>
      </c>
      <c r="C155" s="73" t="s">
        <v>1897</v>
      </c>
      <c r="D155" s="216"/>
      <c r="E155" s="226" t="s">
        <v>1969</v>
      </c>
      <c r="F155" s="218"/>
      <c r="G155" s="75"/>
      <c r="H155" s="75"/>
      <c r="I155" s="75" t="s">
        <v>1970</v>
      </c>
      <c r="J155" s="76"/>
      <c r="K155" s="77" t="s">
        <v>1592</v>
      </c>
      <c r="L155" s="107" t="s">
        <v>25</v>
      </c>
      <c r="M155" s="108"/>
      <c r="N155" s="181"/>
      <c r="O155" s="119" t="s">
        <v>34</v>
      </c>
      <c r="P155" s="120">
        <v>46181</v>
      </c>
      <c r="Q155" s="173" t="s">
        <v>1566</v>
      </c>
      <c r="R155" s="109"/>
      <c r="S155" s="109"/>
      <c r="T155" s="106"/>
      <c r="U155" s="106"/>
      <c r="V155" s="106"/>
      <c r="W155" s="73" t="s">
        <v>2626</v>
      </c>
      <c r="X155" s="73"/>
      <c r="Y155" s="73">
        <v>1</v>
      </c>
      <c r="Z155" s="73">
        <v>1</v>
      </c>
      <c r="AA155" s="111" t="s">
        <v>207</v>
      </c>
      <c r="AB155" s="118"/>
      <c r="AC155" s="106"/>
      <c r="AD155" s="106"/>
      <c r="AE155" s="2"/>
      <c r="AF155" s="2"/>
    </row>
    <row r="156" spans="1:32" outlineLevel="1">
      <c r="A156" s="106">
        <v>155</v>
      </c>
      <c r="B156" s="73" t="s">
        <v>1971</v>
      </c>
      <c r="C156" s="73" t="s">
        <v>1897</v>
      </c>
      <c r="D156" s="216"/>
      <c r="E156" s="226" t="s">
        <v>1972</v>
      </c>
      <c r="F156" s="218"/>
      <c r="G156" s="75"/>
      <c r="H156" s="75"/>
      <c r="I156" s="75" t="s">
        <v>1967</v>
      </c>
      <c r="J156" s="76"/>
      <c r="K156" s="77" t="s">
        <v>1592</v>
      </c>
      <c r="L156" s="107"/>
      <c r="M156" s="108"/>
      <c r="N156" s="181"/>
      <c r="O156" s="119" t="s">
        <v>34</v>
      </c>
      <c r="P156" s="120">
        <v>46181</v>
      </c>
      <c r="Q156" s="173" t="s">
        <v>1566</v>
      </c>
      <c r="R156" s="109"/>
      <c r="S156" s="109"/>
      <c r="T156" s="106"/>
      <c r="U156" s="106"/>
      <c r="V156" s="106"/>
      <c r="W156" s="73" t="s">
        <v>2630</v>
      </c>
      <c r="X156" s="73"/>
      <c r="Y156" s="73">
        <v>1</v>
      </c>
      <c r="Z156" s="73">
        <v>1</v>
      </c>
      <c r="AA156" s="111" t="s">
        <v>208</v>
      </c>
      <c r="AB156" s="118"/>
      <c r="AC156" s="106"/>
      <c r="AD156" s="106"/>
      <c r="AE156" s="2"/>
      <c r="AF156" s="2"/>
    </row>
    <row r="157" spans="1:32" outlineLevel="1">
      <c r="A157" s="106">
        <v>156</v>
      </c>
      <c r="B157" s="73" t="s">
        <v>209</v>
      </c>
      <c r="C157" s="73" t="s">
        <v>1897</v>
      </c>
      <c r="D157" s="216"/>
      <c r="E157" s="226" t="s">
        <v>1973</v>
      </c>
      <c r="F157" s="218"/>
      <c r="G157" s="75"/>
      <c r="H157" s="75"/>
      <c r="I157" s="75" t="s">
        <v>1974</v>
      </c>
      <c r="J157" s="76"/>
      <c r="K157" s="77" t="s">
        <v>1592</v>
      </c>
      <c r="L157" s="107"/>
      <c r="M157" s="108"/>
      <c r="N157" s="181"/>
      <c r="O157" s="119" t="s">
        <v>34</v>
      </c>
      <c r="P157" s="120">
        <v>46181</v>
      </c>
      <c r="Q157" s="173" t="s">
        <v>1566</v>
      </c>
      <c r="R157" s="109"/>
      <c r="S157" s="109"/>
      <c r="T157" s="106"/>
      <c r="U157" s="106"/>
      <c r="V157" s="106"/>
      <c r="W157" s="73" t="s">
        <v>2630</v>
      </c>
      <c r="X157" s="73"/>
      <c r="Y157" s="73">
        <v>1</v>
      </c>
      <c r="Z157" s="73">
        <v>1</v>
      </c>
      <c r="AA157" s="111" t="s">
        <v>210</v>
      </c>
      <c r="AB157" s="118"/>
      <c r="AC157" s="106"/>
      <c r="AD157" s="106"/>
      <c r="AE157" s="2"/>
      <c r="AF157" s="2"/>
    </row>
    <row r="158" spans="1:32" outlineLevel="1">
      <c r="A158" s="106">
        <v>157</v>
      </c>
      <c r="B158" s="73" t="s">
        <v>1975</v>
      </c>
      <c r="C158" s="73" t="s">
        <v>1897</v>
      </c>
      <c r="D158" s="216"/>
      <c r="E158" s="226" t="s">
        <v>1976</v>
      </c>
      <c r="F158" s="218"/>
      <c r="G158" s="75"/>
      <c r="H158" s="75"/>
      <c r="I158" s="75" t="s">
        <v>1977</v>
      </c>
      <c r="J158" s="76"/>
      <c r="K158" s="77" t="s">
        <v>1592</v>
      </c>
      <c r="L158" s="107"/>
      <c r="M158" s="108"/>
      <c r="N158" s="181"/>
      <c r="O158" s="119" t="s">
        <v>34</v>
      </c>
      <c r="P158" s="120">
        <v>46181</v>
      </c>
      <c r="Q158" s="173" t="s">
        <v>1566</v>
      </c>
      <c r="R158" s="109"/>
      <c r="S158" s="109"/>
      <c r="T158" s="106"/>
      <c r="U158" s="106"/>
      <c r="V158" s="106"/>
      <c r="W158" s="73" t="s">
        <v>2630</v>
      </c>
      <c r="X158" s="73"/>
      <c r="Y158" s="73">
        <v>1</v>
      </c>
      <c r="Z158" s="73">
        <v>1</v>
      </c>
      <c r="AA158" s="111" t="s">
        <v>211</v>
      </c>
      <c r="AB158" s="118"/>
      <c r="AC158" s="106"/>
      <c r="AD158" s="106"/>
      <c r="AE158" s="2"/>
      <c r="AF158" s="2"/>
    </row>
    <row r="159" spans="1:32" outlineLevel="1">
      <c r="A159" s="106">
        <v>158</v>
      </c>
      <c r="B159" s="73" t="s">
        <v>1978</v>
      </c>
      <c r="C159" s="87" t="s">
        <v>1883</v>
      </c>
      <c r="D159" s="216"/>
      <c r="E159" s="226" t="s">
        <v>1979</v>
      </c>
      <c r="F159" s="218"/>
      <c r="G159" s="75"/>
      <c r="H159" s="75" t="s">
        <v>1980</v>
      </c>
      <c r="I159" s="75" t="s">
        <v>1734</v>
      </c>
      <c r="J159" s="76"/>
      <c r="K159" s="77" t="s">
        <v>1592</v>
      </c>
      <c r="L159" s="107" t="s">
        <v>25</v>
      </c>
      <c r="M159" s="108"/>
      <c r="N159" s="181" t="s">
        <v>39</v>
      </c>
      <c r="O159" s="109" t="s">
        <v>24</v>
      </c>
      <c r="P159" s="109"/>
      <c r="Q159" s="110"/>
      <c r="R159" s="109"/>
      <c r="S159" s="109"/>
      <c r="T159" s="106"/>
      <c r="U159" s="106"/>
      <c r="V159" s="106"/>
      <c r="W159" s="73" t="s">
        <v>2629</v>
      </c>
      <c r="X159" s="73">
        <v>1</v>
      </c>
      <c r="Y159" s="73">
        <v>1</v>
      </c>
      <c r="Z159" s="73"/>
      <c r="AA159" s="111" t="s">
        <v>212</v>
      </c>
      <c r="AB159" s="118"/>
      <c r="AC159" s="106" t="s">
        <v>177</v>
      </c>
      <c r="AD159" s="106" t="s">
        <v>213</v>
      </c>
      <c r="AE159" s="2"/>
      <c r="AF159" s="2"/>
    </row>
    <row r="160" spans="1:32" outlineLevel="1">
      <c r="A160" s="106">
        <v>159</v>
      </c>
      <c r="B160" s="73" t="s">
        <v>214</v>
      </c>
      <c r="C160" s="73" t="s">
        <v>1897</v>
      </c>
      <c r="D160" s="216"/>
      <c r="E160" s="226" t="s">
        <v>1981</v>
      </c>
      <c r="F160" s="218"/>
      <c r="G160" s="75"/>
      <c r="H160" s="75"/>
      <c r="I160" s="75" t="s">
        <v>1982</v>
      </c>
      <c r="J160" s="76"/>
      <c r="K160" s="77" t="s">
        <v>1592</v>
      </c>
      <c r="L160" s="107" t="s">
        <v>25</v>
      </c>
      <c r="M160" s="108"/>
      <c r="N160" s="181" t="s">
        <v>39</v>
      </c>
      <c r="O160" s="109" t="s">
        <v>24</v>
      </c>
      <c r="P160" s="109"/>
      <c r="Q160" s="110"/>
      <c r="R160" s="109"/>
      <c r="S160" s="109"/>
      <c r="T160" s="106"/>
      <c r="U160" s="106"/>
      <c r="V160" s="106"/>
      <c r="W160" s="73" t="s">
        <v>2629</v>
      </c>
      <c r="X160" s="73">
        <v>1</v>
      </c>
      <c r="Y160" s="73">
        <v>1</v>
      </c>
      <c r="Z160" s="73"/>
      <c r="AA160" s="111" t="s">
        <v>212</v>
      </c>
      <c r="AB160" s="118"/>
      <c r="AC160" s="106"/>
      <c r="AD160" s="106"/>
      <c r="AE160" s="2"/>
      <c r="AF160" s="2"/>
    </row>
    <row r="161" spans="1:32" outlineLevel="1">
      <c r="A161" s="106">
        <v>160</v>
      </c>
      <c r="B161" s="73" t="s">
        <v>215</v>
      </c>
      <c r="C161" s="73" t="s">
        <v>1897</v>
      </c>
      <c r="D161" s="216"/>
      <c r="E161" s="226" t="s">
        <v>1983</v>
      </c>
      <c r="F161" s="218"/>
      <c r="G161" s="75"/>
      <c r="H161" s="75"/>
      <c r="I161" s="75" t="s">
        <v>1903</v>
      </c>
      <c r="J161" s="76"/>
      <c r="K161" s="77" t="s">
        <v>1592</v>
      </c>
      <c r="L161" s="107" t="s">
        <v>25</v>
      </c>
      <c r="M161" s="108"/>
      <c r="N161" s="181" t="s">
        <v>39</v>
      </c>
      <c r="O161" s="109" t="s">
        <v>24</v>
      </c>
      <c r="P161" s="109"/>
      <c r="Q161" s="110"/>
      <c r="R161" s="109"/>
      <c r="S161" s="109"/>
      <c r="T161" s="106"/>
      <c r="U161" s="106"/>
      <c r="V161" s="106"/>
      <c r="W161" s="73" t="s">
        <v>2629</v>
      </c>
      <c r="X161" s="73">
        <v>1</v>
      </c>
      <c r="Y161" s="73">
        <v>1</v>
      </c>
      <c r="Z161" s="73"/>
      <c r="AA161" s="111" t="s">
        <v>212</v>
      </c>
      <c r="AB161" s="118"/>
      <c r="AC161" s="106"/>
      <c r="AD161" s="106"/>
      <c r="AE161" s="2"/>
      <c r="AF161" s="2"/>
    </row>
    <row r="162" spans="1:32" outlineLevel="1">
      <c r="A162" s="106">
        <v>161</v>
      </c>
      <c r="B162" s="73" t="s">
        <v>216</v>
      </c>
      <c r="C162" s="73" t="s">
        <v>1897</v>
      </c>
      <c r="D162" s="216"/>
      <c r="E162" s="226" t="s">
        <v>1984</v>
      </c>
      <c r="F162" s="218"/>
      <c r="G162" s="75"/>
      <c r="H162" s="75"/>
      <c r="I162" s="75" t="s">
        <v>1916</v>
      </c>
      <c r="J162" s="76"/>
      <c r="K162" s="77" t="s">
        <v>1592</v>
      </c>
      <c r="L162" s="107"/>
      <c r="M162" s="108"/>
      <c r="N162" s="181"/>
      <c r="O162" s="119" t="s">
        <v>34</v>
      </c>
      <c r="P162" s="120">
        <v>46181</v>
      </c>
      <c r="Q162" s="173" t="s">
        <v>1566</v>
      </c>
      <c r="R162" s="109"/>
      <c r="S162" s="109"/>
      <c r="T162" s="106"/>
      <c r="U162" s="106"/>
      <c r="V162" s="106"/>
      <c r="W162" s="73" t="s">
        <v>2631</v>
      </c>
      <c r="X162" s="73">
        <v>1</v>
      </c>
      <c r="Y162" s="73">
        <v>1</v>
      </c>
      <c r="Z162" s="73"/>
      <c r="AA162" s="111" t="s">
        <v>212</v>
      </c>
      <c r="AB162" s="118"/>
      <c r="AC162" s="106"/>
      <c r="AD162" s="106"/>
      <c r="AE162" s="2"/>
      <c r="AF162" s="2"/>
    </row>
    <row r="163" spans="1:32" outlineLevel="1">
      <c r="A163" s="106">
        <v>162</v>
      </c>
      <c r="B163" s="73" t="s">
        <v>217</v>
      </c>
      <c r="C163" s="73" t="s">
        <v>1897</v>
      </c>
      <c r="D163" s="216"/>
      <c r="E163" s="226" t="s">
        <v>1985</v>
      </c>
      <c r="F163" s="218"/>
      <c r="G163" s="75"/>
      <c r="H163" s="75"/>
      <c r="I163" s="75" t="s">
        <v>1986</v>
      </c>
      <c r="J163" s="76"/>
      <c r="K163" s="77" t="s">
        <v>1592</v>
      </c>
      <c r="L163" s="107" t="s">
        <v>25</v>
      </c>
      <c r="M163" s="108"/>
      <c r="N163" s="181" t="s">
        <v>39</v>
      </c>
      <c r="O163" s="109" t="s">
        <v>24</v>
      </c>
      <c r="P163" s="109"/>
      <c r="Q163" s="110"/>
      <c r="R163" s="109"/>
      <c r="S163" s="109"/>
      <c r="T163" s="106"/>
      <c r="U163" s="106"/>
      <c r="V163" s="106"/>
      <c r="W163" s="73" t="s">
        <v>2628</v>
      </c>
      <c r="X163" s="73">
        <v>1</v>
      </c>
      <c r="Y163" s="73">
        <v>1</v>
      </c>
      <c r="Z163" s="73"/>
      <c r="AA163" s="111" t="s">
        <v>212</v>
      </c>
      <c r="AB163" s="118"/>
      <c r="AC163" s="106"/>
      <c r="AD163" s="106"/>
      <c r="AE163" s="2"/>
      <c r="AF163" s="2"/>
    </row>
    <row r="164" spans="1:32" outlineLevel="1">
      <c r="A164" s="106">
        <v>163</v>
      </c>
      <c r="B164" s="73" t="s">
        <v>1987</v>
      </c>
      <c r="C164" s="73" t="s">
        <v>1897</v>
      </c>
      <c r="D164" s="216"/>
      <c r="E164" s="226" t="s">
        <v>1988</v>
      </c>
      <c r="F164" s="218"/>
      <c r="G164" s="75"/>
      <c r="H164" s="75"/>
      <c r="I164" s="75" t="s">
        <v>1989</v>
      </c>
      <c r="J164" s="76"/>
      <c r="K164" s="77" t="s">
        <v>1592</v>
      </c>
      <c r="L164" s="107" t="s">
        <v>25</v>
      </c>
      <c r="M164" s="108"/>
      <c r="N164" s="181" t="s">
        <v>39</v>
      </c>
      <c r="O164" s="109" t="s">
        <v>24</v>
      </c>
      <c r="P164" s="109"/>
      <c r="Q164" s="110"/>
      <c r="R164" s="109"/>
      <c r="S164" s="109"/>
      <c r="T164" s="106"/>
      <c r="U164" s="106"/>
      <c r="V164" s="106"/>
      <c r="W164" s="73" t="s">
        <v>2629</v>
      </c>
      <c r="X164" s="73">
        <v>1</v>
      </c>
      <c r="Y164" s="73">
        <v>1</v>
      </c>
      <c r="Z164" s="73"/>
      <c r="AA164" s="111" t="s">
        <v>212</v>
      </c>
      <c r="AB164" s="118"/>
      <c r="AC164" s="106"/>
      <c r="AD164" s="106"/>
      <c r="AE164" s="2"/>
      <c r="AF164" s="2"/>
    </row>
    <row r="165" spans="1:32" outlineLevel="1">
      <c r="A165" s="106">
        <v>164</v>
      </c>
      <c r="B165" s="73" t="s">
        <v>1990</v>
      </c>
      <c r="C165" s="73" t="s">
        <v>1897</v>
      </c>
      <c r="D165" s="216"/>
      <c r="E165" s="227" t="s">
        <v>1991</v>
      </c>
      <c r="F165" s="218"/>
      <c r="G165" s="75"/>
      <c r="H165" s="75"/>
      <c r="I165" s="75" t="s">
        <v>1992</v>
      </c>
      <c r="J165" s="76"/>
      <c r="K165" s="77" t="s">
        <v>1592</v>
      </c>
      <c r="L165" s="107"/>
      <c r="M165" s="108"/>
      <c r="N165" s="181"/>
      <c r="O165" s="119" t="s">
        <v>34</v>
      </c>
      <c r="P165" s="120">
        <v>46181</v>
      </c>
      <c r="Q165" s="173" t="s">
        <v>1566</v>
      </c>
      <c r="R165" s="109"/>
      <c r="S165" s="109"/>
      <c r="T165" s="106"/>
      <c r="U165" s="106"/>
      <c r="V165" s="106"/>
      <c r="W165" s="73" t="s">
        <v>2630</v>
      </c>
      <c r="X165" s="73"/>
      <c r="Y165" s="73">
        <v>1</v>
      </c>
      <c r="Z165" s="73">
        <v>1</v>
      </c>
      <c r="AA165" s="111" t="s">
        <v>220</v>
      </c>
      <c r="AB165" s="151"/>
      <c r="AC165" s="106"/>
      <c r="AD165" s="106"/>
      <c r="AE165" s="2"/>
      <c r="AF165" s="2"/>
    </row>
    <row r="166" spans="1:32" outlineLevel="1">
      <c r="A166" s="106">
        <v>165</v>
      </c>
      <c r="B166" s="73" t="s">
        <v>1993</v>
      </c>
      <c r="C166" s="73" t="s">
        <v>1897</v>
      </c>
      <c r="D166" s="216"/>
      <c r="E166" s="215" t="s">
        <v>1994</v>
      </c>
      <c r="F166" s="218"/>
      <c r="G166" s="75"/>
      <c r="H166" s="75"/>
      <c r="I166" s="75" t="s">
        <v>1995</v>
      </c>
      <c r="J166" s="76"/>
      <c r="K166" s="77" t="s">
        <v>1592</v>
      </c>
      <c r="L166" s="107"/>
      <c r="M166" s="108"/>
      <c r="N166" s="181"/>
      <c r="O166" s="119" t="s">
        <v>34</v>
      </c>
      <c r="P166" s="120">
        <v>46181</v>
      </c>
      <c r="Q166" s="173" t="s">
        <v>1566</v>
      </c>
      <c r="R166" s="109"/>
      <c r="S166" s="109"/>
      <c r="T166" s="106"/>
      <c r="U166" s="106"/>
      <c r="V166" s="106"/>
      <c r="W166" s="73" t="s">
        <v>2632</v>
      </c>
      <c r="X166" s="73"/>
      <c r="Y166" s="73">
        <v>1</v>
      </c>
      <c r="Z166" s="73">
        <v>1</v>
      </c>
      <c r="AA166" s="111" t="s">
        <v>221</v>
      </c>
      <c r="AB166" s="151"/>
      <c r="AC166" s="106"/>
      <c r="AD166" s="106"/>
      <c r="AE166" s="2"/>
      <c r="AF166" s="2"/>
    </row>
    <row r="167" spans="1:32" outlineLevel="1">
      <c r="A167" s="106">
        <v>166</v>
      </c>
      <c r="B167" s="73" t="s">
        <v>1996</v>
      </c>
      <c r="C167" s="73" t="s">
        <v>1897</v>
      </c>
      <c r="D167" s="216"/>
      <c r="E167" s="215" t="s">
        <v>1997</v>
      </c>
      <c r="F167" s="218"/>
      <c r="G167" s="75"/>
      <c r="H167" s="75"/>
      <c r="I167" s="75" t="s">
        <v>1998</v>
      </c>
      <c r="J167" s="76" t="s">
        <v>1999</v>
      </c>
      <c r="K167" s="77" t="s">
        <v>1592</v>
      </c>
      <c r="L167" s="107"/>
      <c r="M167" s="108"/>
      <c r="N167" s="181"/>
      <c r="O167" s="119" t="s">
        <v>34</v>
      </c>
      <c r="P167" s="120">
        <v>46181</v>
      </c>
      <c r="Q167" s="173" t="s">
        <v>1568</v>
      </c>
      <c r="R167" s="109"/>
      <c r="S167" s="109"/>
      <c r="T167" s="106"/>
      <c r="U167" s="106"/>
      <c r="V167" s="106"/>
      <c r="W167" s="73" t="s">
        <v>2628</v>
      </c>
      <c r="X167" s="73">
        <v>1</v>
      </c>
      <c r="Y167" s="73">
        <v>1</v>
      </c>
      <c r="Z167" s="73"/>
      <c r="AA167" s="111" t="s">
        <v>222</v>
      </c>
      <c r="AB167" s="151"/>
      <c r="AC167" s="106"/>
      <c r="AD167" s="106"/>
      <c r="AE167" s="2"/>
      <c r="AF167" s="2"/>
    </row>
    <row r="168" spans="1:32" outlineLevel="1">
      <c r="A168" s="106">
        <v>167</v>
      </c>
      <c r="B168" s="73" t="s">
        <v>2000</v>
      </c>
      <c r="C168" s="73" t="s">
        <v>1897</v>
      </c>
      <c r="D168" s="216"/>
      <c r="E168" s="215" t="s">
        <v>2001</v>
      </c>
      <c r="F168" s="218"/>
      <c r="G168" s="75"/>
      <c r="H168" s="75"/>
      <c r="I168" s="75" t="s">
        <v>2002</v>
      </c>
      <c r="J168" s="76"/>
      <c r="K168" s="77" t="s">
        <v>1592</v>
      </c>
      <c r="L168" s="107" t="s">
        <v>25</v>
      </c>
      <c r="M168" s="108"/>
      <c r="N168" s="181" t="s">
        <v>39</v>
      </c>
      <c r="O168" s="109" t="s">
        <v>24</v>
      </c>
      <c r="P168" s="109"/>
      <c r="Q168" s="110"/>
      <c r="R168" s="109"/>
      <c r="S168" s="109"/>
      <c r="T168" s="106"/>
      <c r="U168" s="106"/>
      <c r="V168" s="106"/>
      <c r="W168" s="73" t="s">
        <v>2632</v>
      </c>
      <c r="X168" s="73"/>
      <c r="Y168" s="73">
        <v>1</v>
      </c>
      <c r="Z168" s="73">
        <v>1</v>
      </c>
      <c r="AA168" s="111" t="s">
        <v>223</v>
      </c>
      <c r="AB168" s="118"/>
      <c r="AC168" s="106"/>
      <c r="AD168" s="106"/>
      <c r="AE168" s="2"/>
      <c r="AF168" s="2"/>
    </row>
    <row r="169" spans="1:32" outlineLevel="1">
      <c r="A169" s="106">
        <v>168</v>
      </c>
      <c r="B169" s="73"/>
      <c r="C169" s="73"/>
      <c r="D169" s="216"/>
      <c r="E169" s="75"/>
      <c r="F169" s="218"/>
      <c r="G169" s="75"/>
      <c r="H169" s="75"/>
      <c r="I169" s="75" t="s">
        <v>2003</v>
      </c>
      <c r="J169" s="76" t="s">
        <v>2004</v>
      </c>
      <c r="K169" s="73"/>
      <c r="L169" s="113"/>
      <c r="M169" s="114"/>
      <c r="N169" s="182"/>
      <c r="O169" s="115"/>
      <c r="P169" s="115"/>
      <c r="Q169" s="116"/>
      <c r="R169" s="115"/>
      <c r="S169" s="115"/>
      <c r="T169" s="106"/>
      <c r="U169" s="106"/>
      <c r="V169" s="106"/>
      <c r="W169" s="76"/>
      <c r="X169" s="76"/>
      <c r="Y169" s="76"/>
      <c r="Z169" s="73"/>
      <c r="AA169" s="111" t="s">
        <v>224</v>
      </c>
      <c r="AB169" s="118"/>
      <c r="AC169" s="106"/>
      <c r="AD169" s="106"/>
      <c r="AE169" s="2"/>
      <c r="AF169" s="2"/>
    </row>
    <row r="170" spans="1:32" outlineLevel="1">
      <c r="A170" s="106">
        <v>169</v>
      </c>
      <c r="B170" s="73"/>
      <c r="C170" s="73"/>
      <c r="D170" s="216"/>
      <c r="E170" s="75"/>
      <c r="F170" s="218"/>
      <c r="G170" s="75"/>
      <c r="H170" s="75"/>
      <c r="I170" s="75" t="s">
        <v>2005</v>
      </c>
      <c r="J170" s="76" t="s">
        <v>2006</v>
      </c>
      <c r="K170" s="73"/>
      <c r="L170" s="113"/>
      <c r="M170" s="114"/>
      <c r="N170" s="182"/>
      <c r="O170" s="115"/>
      <c r="P170" s="115"/>
      <c r="Q170" s="116"/>
      <c r="R170" s="115"/>
      <c r="S170" s="115"/>
      <c r="T170" s="106"/>
      <c r="U170" s="106"/>
      <c r="V170" s="106"/>
      <c r="W170" s="76"/>
      <c r="X170" s="76"/>
      <c r="Y170" s="76"/>
      <c r="Z170" s="73"/>
      <c r="AA170" s="111" t="s">
        <v>224</v>
      </c>
      <c r="AB170" s="118"/>
      <c r="AC170" s="106"/>
      <c r="AD170" s="106"/>
      <c r="AE170" s="2"/>
      <c r="AF170" s="2"/>
    </row>
    <row r="171" spans="1:32" outlineLevel="1">
      <c r="A171" s="106">
        <v>170</v>
      </c>
      <c r="B171" s="73" t="s">
        <v>2007</v>
      </c>
      <c r="C171" s="87" t="s">
        <v>1883</v>
      </c>
      <c r="D171" s="216"/>
      <c r="E171" s="228" t="s">
        <v>2008</v>
      </c>
      <c r="F171" s="218" t="s">
        <v>2009</v>
      </c>
      <c r="G171" s="75"/>
      <c r="H171" s="75"/>
      <c r="I171" s="75"/>
      <c r="J171" s="76"/>
      <c r="K171" s="77" t="s">
        <v>1592</v>
      </c>
      <c r="L171" s="107" t="s">
        <v>25</v>
      </c>
      <c r="M171" s="108"/>
      <c r="N171" s="181" t="s">
        <v>39</v>
      </c>
      <c r="O171" s="109" t="s">
        <v>24</v>
      </c>
      <c r="P171" s="109"/>
      <c r="Q171" s="110"/>
      <c r="R171" s="109"/>
      <c r="S171" s="109"/>
      <c r="T171" s="106"/>
      <c r="U171" s="106"/>
      <c r="V171" s="106"/>
      <c r="W171" s="73" t="s">
        <v>2628</v>
      </c>
      <c r="X171" s="73">
        <v>1</v>
      </c>
      <c r="Y171" s="73">
        <v>1</v>
      </c>
      <c r="Z171" s="73"/>
      <c r="AA171" s="111" t="s">
        <v>226</v>
      </c>
      <c r="AB171" s="118"/>
      <c r="AC171" s="106" t="s">
        <v>227</v>
      </c>
      <c r="AD171" s="106" t="s">
        <v>228</v>
      </c>
      <c r="AE171" s="2"/>
      <c r="AF171" s="2"/>
    </row>
    <row r="172" spans="1:32" outlineLevel="1">
      <c r="A172" s="106">
        <v>171</v>
      </c>
      <c r="B172" s="73"/>
      <c r="C172" s="73"/>
      <c r="D172" s="216"/>
      <c r="E172" s="75"/>
      <c r="F172" s="218"/>
      <c r="G172" s="75" t="s">
        <v>1724</v>
      </c>
      <c r="H172" s="75"/>
      <c r="I172" s="75"/>
      <c r="J172" s="76"/>
      <c r="K172" s="73"/>
      <c r="L172" s="113"/>
      <c r="M172" s="114"/>
      <c r="N172" s="182"/>
      <c r="O172" s="115"/>
      <c r="P172" s="115"/>
      <c r="Q172" s="116"/>
      <c r="R172" s="115"/>
      <c r="S172" s="115"/>
      <c r="T172" s="106"/>
      <c r="U172" s="106"/>
      <c r="V172" s="106"/>
      <c r="W172" s="73"/>
      <c r="X172" s="73"/>
      <c r="Y172" s="73"/>
      <c r="Z172" s="73"/>
      <c r="AA172" s="111" t="s">
        <v>229</v>
      </c>
      <c r="AB172" s="118"/>
      <c r="AC172" s="106"/>
      <c r="AD172" s="106"/>
      <c r="AE172" s="2"/>
      <c r="AF172" s="2"/>
    </row>
    <row r="173" spans="1:32" outlineLevel="1">
      <c r="A173" s="106">
        <v>172</v>
      </c>
      <c r="B173" s="73" t="s">
        <v>2010</v>
      </c>
      <c r="C173" s="87" t="s">
        <v>1883</v>
      </c>
      <c r="D173" s="216"/>
      <c r="E173" s="215" t="s">
        <v>2011</v>
      </c>
      <c r="F173" s="218"/>
      <c r="G173" s="75" t="s">
        <v>2012</v>
      </c>
      <c r="H173" s="75"/>
      <c r="I173" s="75"/>
      <c r="J173" s="76"/>
      <c r="K173" s="77" t="s">
        <v>1592</v>
      </c>
      <c r="L173" s="107" t="s">
        <v>25</v>
      </c>
      <c r="M173" s="108"/>
      <c r="N173" s="181" t="s">
        <v>39</v>
      </c>
      <c r="O173" s="109" t="s">
        <v>24</v>
      </c>
      <c r="P173" s="109"/>
      <c r="Q173" s="110"/>
      <c r="R173" s="109"/>
      <c r="S173" s="109"/>
      <c r="T173" s="106"/>
      <c r="U173" s="106"/>
      <c r="V173" s="106"/>
      <c r="W173" s="73" t="s">
        <v>2629</v>
      </c>
      <c r="X173" s="73">
        <v>1</v>
      </c>
      <c r="Y173" s="73">
        <v>1</v>
      </c>
      <c r="Z173" s="73"/>
      <c r="AA173" s="111" t="s">
        <v>230</v>
      </c>
      <c r="AB173" s="118"/>
      <c r="AC173" s="106"/>
      <c r="AD173" s="106"/>
      <c r="AE173" s="2"/>
      <c r="AF173" s="2"/>
    </row>
    <row r="174" spans="1:32" outlineLevel="1">
      <c r="A174" s="106">
        <v>173</v>
      </c>
      <c r="B174" s="73" t="s">
        <v>2013</v>
      </c>
      <c r="C174" s="73" t="s">
        <v>1897</v>
      </c>
      <c r="D174" s="216"/>
      <c r="E174" s="226" t="s">
        <v>2014</v>
      </c>
      <c r="F174" s="218"/>
      <c r="G174" s="75"/>
      <c r="H174" s="75" t="s">
        <v>2015</v>
      </c>
      <c r="I174" s="75"/>
      <c r="J174" s="76"/>
      <c r="K174" s="77" t="s">
        <v>1592</v>
      </c>
      <c r="L174" s="107"/>
      <c r="M174" s="108"/>
      <c r="N174" s="181"/>
      <c r="O174" s="119" t="s">
        <v>34</v>
      </c>
      <c r="P174" s="120">
        <v>46181</v>
      </c>
      <c r="Q174" s="173" t="s">
        <v>1570</v>
      </c>
      <c r="R174" s="109"/>
      <c r="S174" s="109"/>
      <c r="T174" s="106"/>
      <c r="U174" s="106"/>
      <c r="V174" s="106"/>
      <c r="W174" s="73" t="s">
        <v>2630</v>
      </c>
      <c r="X174" s="73"/>
      <c r="Y174" s="73">
        <v>1</v>
      </c>
      <c r="Z174" s="73">
        <v>1</v>
      </c>
      <c r="AA174" s="111" t="s">
        <v>233</v>
      </c>
      <c r="AB174" s="118"/>
      <c r="AC174" s="106" t="s">
        <v>234</v>
      </c>
      <c r="AD174" s="106"/>
      <c r="AE174" s="2"/>
      <c r="AF174" s="2"/>
    </row>
    <row r="175" spans="1:32" outlineLevel="1">
      <c r="A175" s="106">
        <v>174</v>
      </c>
      <c r="B175" s="73" t="s">
        <v>235</v>
      </c>
      <c r="C175" s="73" t="s">
        <v>1897</v>
      </c>
      <c r="D175" s="216"/>
      <c r="E175" s="215" t="s">
        <v>2016</v>
      </c>
      <c r="F175" s="218"/>
      <c r="G175" s="75"/>
      <c r="H175" s="75" t="s">
        <v>2017</v>
      </c>
      <c r="I175" s="75"/>
      <c r="J175" s="76"/>
      <c r="K175" s="77" t="s">
        <v>1592</v>
      </c>
      <c r="L175" s="107" t="s">
        <v>25</v>
      </c>
      <c r="M175" s="108"/>
      <c r="N175" s="181" t="s">
        <v>39</v>
      </c>
      <c r="O175" s="109" t="s">
        <v>24</v>
      </c>
      <c r="P175" s="109"/>
      <c r="Q175" s="110"/>
      <c r="R175" s="109"/>
      <c r="S175" s="109"/>
      <c r="T175" s="106"/>
      <c r="U175" s="106"/>
      <c r="V175" s="106"/>
      <c r="W175" s="73" t="s">
        <v>2626</v>
      </c>
      <c r="X175" s="73"/>
      <c r="Y175" s="73">
        <v>1</v>
      </c>
      <c r="Z175" s="73">
        <v>1</v>
      </c>
      <c r="AA175" s="111" t="s">
        <v>237</v>
      </c>
      <c r="AB175" s="118"/>
      <c r="AC175" s="106" t="s">
        <v>234</v>
      </c>
      <c r="AD175" s="106"/>
      <c r="AE175" s="2"/>
      <c r="AF175" s="2"/>
    </row>
    <row r="176" spans="1:32" outlineLevel="1">
      <c r="A176" s="106">
        <v>175</v>
      </c>
      <c r="B176" s="73"/>
      <c r="C176" s="73"/>
      <c r="D176" s="216"/>
      <c r="E176" s="229"/>
      <c r="F176" s="218"/>
      <c r="G176" s="75"/>
      <c r="H176" s="75"/>
      <c r="I176" s="75"/>
      <c r="J176" s="76" t="s">
        <v>2018</v>
      </c>
      <c r="K176" s="73"/>
      <c r="L176" s="113"/>
      <c r="M176" s="114"/>
      <c r="N176" s="182"/>
      <c r="O176" s="115"/>
      <c r="P176" s="115"/>
      <c r="Q176" s="116"/>
      <c r="R176" s="115"/>
      <c r="S176" s="115"/>
      <c r="T176" s="106"/>
      <c r="U176" s="106"/>
      <c r="V176" s="106"/>
      <c r="W176" s="73"/>
      <c r="X176" s="73"/>
      <c r="Y176" s="73"/>
      <c r="Z176" s="73"/>
      <c r="AA176" s="111" t="s">
        <v>239</v>
      </c>
      <c r="AB176" s="118"/>
      <c r="AC176" s="106"/>
      <c r="AD176" s="106"/>
      <c r="AE176" s="2"/>
      <c r="AF176" s="2"/>
    </row>
    <row r="177" spans="1:32" outlineLevel="1">
      <c r="A177" s="106">
        <v>176</v>
      </c>
      <c r="B177" s="73" t="s">
        <v>2019</v>
      </c>
      <c r="C177" s="73" t="s">
        <v>1897</v>
      </c>
      <c r="D177" s="216"/>
      <c r="E177" s="226" t="s">
        <v>2020</v>
      </c>
      <c r="F177" s="218"/>
      <c r="G177" s="75"/>
      <c r="H177" s="75" t="s">
        <v>2021</v>
      </c>
      <c r="I177" s="75"/>
      <c r="J177" s="76"/>
      <c r="K177" s="77" t="s">
        <v>1592</v>
      </c>
      <c r="L177" s="107" t="s">
        <v>25</v>
      </c>
      <c r="M177" s="108"/>
      <c r="N177" s="181" t="s">
        <v>39</v>
      </c>
      <c r="O177" s="109" t="s">
        <v>24</v>
      </c>
      <c r="P177" s="109"/>
      <c r="Q177" s="110"/>
      <c r="R177" s="109"/>
      <c r="S177" s="109"/>
      <c r="T177" s="106"/>
      <c r="U177" s="106"/>
      <c r="V177" s="106"/>
      <c r="W177" s="73" t="s">
        <v>2628</v>
      </c>
      <c r="X177" s="73">
        <v>1</v>
      </c>
      <c r="Y177" s="73">
        <v>1</v>
      </c>
      <c r="Z177" s="73"/>
      <c r="AA177" s="111" t="s">
        <v>240</v>
      </c>
      <c r="AB177" s="118"/>
      <c r="AC177" s="106" t="s">
        <v>177</v>
      </c>
      <c r="AD177" s="106" t="s">
        <v>241</v>
      </c>
      <c r="AE177" s="2"/>
      <c r="AF177" s="2"/>
    </row>
    <row r="178" spans="1:32" outlineLevel="1">
      <c r="A178" s="106">
        <v>177</v>
      </c>
      <c r="B178" s="88" t="s">
        <v>2022</v>
      </c>
      <c r="C178" s="73" t="s">
        <v>1897</v>
      </c>
      <c r="D178" s="216"/>
      <c r="E178" s="226" t="s">
        <v>2023</v>
      </c>
      <c r="F178" s="218"/>
      <c r="G178" s="75"/>
      <c r="H178" s="75" t="s">
        <v>2024</v>
      </c>
      <c r="I178" s="75"/>
      <c r="J178" s="76"/>
      <c r="K178" s="77" t="s">
        <v>1592</v>
      </c>
      <c r="L178" s="107"/>
      <c r="M178" s="108"/>
      <c r="N178" s="181"/>
      <c r="O178" s="119" t="s">
        <v>34</v>
      </c>
      <c r="P178" s="120">
        <v>46181</v>
      </c>
      <c r="Q178" s="173" t="s">
        <v>1566</v>
      </c>
      <c r="R178" s="109"/>
      <c r="S178" s="109"/>
      <c r="T178" s="106"/>
      <c r="U178" s="106"/>
      <c r="V178" s="106"/>
      <c r="W178" s="73" t="s">
        <v>2629</v>
      </c>
      <c r="X178" s="73">
        <v>1</v>
      </c>
      <c r="Y178" s="73">
        <v>1</v>
      </c>
      <c r="Z178" s="73"/>
      <c r="AA178" s="111" t="s">
        <v>244</v>
      </c>
      <c r="AB178" s="118"/>
      <c r="AC178" s="106" t="s">
        <v>245</v>
      </c>
      <c r="AD178" s="106" t="s">
        <v>246</v>
      </c>
      <c r="AE178" s="2"/>
      <c r="AF178" s="2"/>
    </row>
    <row r="179" spans="1:32" outlineLevel="1">
      <c r="A179" s="106">
        <v>178</v>
      </c>
      <c r="B179" s="73"/>
      <c r="C179" s="73"/>
      <c r="D179" s="216"/>
      <c r="E179" s="75"/>
      <c r="F179" s="218"/>
      <c r="G179" s="75"/>
      <c r="H179" s="75"/>
      <c r="I179" s="75" t="s">
        <v>2025</v>
      </c>
      <c r="J179" s="76"/>
      <c r="K179" s="73"/>
      <c r="L179" s="113"/>
      <c r="M179" s="114"/>
      <c r="N179" s="182"/>
      <c r="O179" s="115"/>
      <c r="P179" s="115"/>
      <c r="Q179" s="116"/>
      <c r="R179" s="115"/>
      <c r="S179" s="115"/>
      <c r="T179" s="106"/>
      <c r="U179" s="106"/>
      <c r="V179" s="106"/>
      <c r="W179" s="73"/>
      <c r="X179" s="73"/>
      <c r="Y179" s="73"/>
      <c r="Z179" s="73"/>
      <c r="AA179" s="112"/>
      <c r="AB179" s="118"/>
      <c r="AC179" s="106" t="s">
        <v>177</v>
      </c>
      <c r="AD179" s="106" t="s">
        <v>247</v>
      </c>
      <c r="AE179" s="2"/>
      <c r="AF179" s="2"/>
    </row>
    <row r="180" spans="1:32" outlineLevel="1">
      <c r="A180" s="106">
        <v>179</v>
      </c>
      <c r="B180" s="89" t="s">
        <v>2026</v>
      </c>
      <c r="C180" s="73" t="s">
        <v>1897</v>
      </c>
      <c r="D180" s="216"/>
      <c r="E180" s="226" t="s">
        <v>2027</v>
      </c>
      <c r="F180" s="218"/>
      <c r="G180" s="75"/>
      <c r="H180" s="75" t="s">
        <v>2028</v>
      </c>
      <c r="I180" s="75"/>
      <c r="J180" s="76"/>
      <c r="K180" s="77" t="s">
        <v>1592</v>
      </c>
      <c r="L180" s="107"/>
      <c r="M180" s="108"/>
      <c r="N180" s="181"/>
      <c r="O180" s="119" t="s">
        <v>34</v>
      </c>
      <c r="P180" s="120">
        <v>46181</v>
      </c>
      <c r="Q180" s="173" t="s">
        <v>1566</v>
      </c>
      <c r="R180" s="109"/>
      <c r="S180" s="109"/>
      <c r="T180" s="106"/>
      <c r="U180" s="106"/>
      <c r="V180" s="106"/>
      <c r="W180" s="73" t="s">
        <v>2626</v>
      </c>
      <c r="X180" s="73"/>
      <c r="Y180" s="73">
        <v>1</v>
      </c>
      <c r="Z180" s="73">
        <v>1</v>
      </c>
      <c r="AA180" s="111" t="s">
        <v>248</v>
      </c>
      <c r="AB180" s="118"/>
      <c r="AC180" s="106"/>
      <c r="AD180" s="106"/>
      <c r="AE180" s="2"/>
      <c r="AF180" s="2"/>
    </row>
    <row r="181" spans="1:32" outlineLevel="1">
      <c r="A181" s="106">
        <v>180</v>
      </c>
      <c r="B181" s="88" t="s">
        <v>2029</v>
      </c>
      <c r="C181" s="73" t="s">
        <v>1897</v>
      </c>
      <c r="D181" s="216"/>
      <c r="E181" s="226" t="s">
        <v>2030</v>
      </c>
      <c r="F181" s="218"/>
      <c r="G181" s="75"/>
      <c r="H181" s="75" t="s">
        <v>2031</v>
      </c>
      <c r="I181" s="75"/>
      <c r="J181" s="76"/>
      <c r="K181" s="77" t="s">
        <v>1592</v>
      </c>
      <c r="L181" s="107"/>
      <c r="M181" s="108"/>
      <c r="N181" s="181"/>
      <c r="O181" s="119" t="s">
        <v>34</v>
      </c>
      <c r="P181" s="120">
        <v>46181</v>
      </c>
      <c r="Q181" s="173" t="s">
        <v>1566</v>
      </c>
      <c r="R181" s="109"/>
      <c r="S181" s="109"/>
      <c r="T181" s="106"/>
      <c r="U181" s="106"/>
      <c r="V181" s="106"/>
      <c r="W181" s="73" t="s">
        <v>2630</v>
      </c>
      <c r="X181" s="73"/>
      <c r="Y181" s="73">
        <v>1</v>
      </c>
      <c r="Z181" s="73">
        <v>1</v>
      </c>
      <c r="AA181" s="111" t="s">
        <v>249</v>
      </c>
      <c r="AB181" s="118"/>
      <c r="AC181" s="106" t="s">
        <v>227</v>
      </c>
      <c r="AD181" s="106" t="s">
        <v>250</v>
      </c>
      <c r="AE181" s="2"/>
      <c r="AF181" s="2"/>
    </row>
    <row r="182" spans="1:32" outlineLevel="1">
      <c r="A182" s="106">
        <v>181</v>
      </c>
      <c r="B182" s="88" t="s">
        <v>2032</v>
      </c>
      <c r="C182" s="73" t="s">
        <v>1897</v>
      </c>
      <c r="D182" s="216"/>
      <c r="E182" s="226" t="s">
        <v>2033</v>
      </c>
      <c r="F182" s="218"/>
      <c r="G182" s="75"/>
      <c r="H182" s="75" t="s">
        <v>2034</v>
      </c>
      <c r="I182" s="75"/>
      <c r="J182" s="76"/>
      <c r="K182" s="77" t="s">
        <v>1592</v>
      </c>
      <c r="L182" s="107"/>
      <c r="M182" s="108"/>
      <c r="N182" s="181"/>
      <c r="O182" s="119" t="s">
        <v>34</v>
      </c>
      <c r="P182" s="120">
        <v>46181</v>
      </c>
      <c r="Q182" s="173" t="s">
        <v>1566</v>
      </c>
      <c r="R182" s="109"/>
      <c r="S182" s="109"/>
      <c r="T182" s="106"/>
      <c r="U182" s="106"/>
      <c r="V182" s="106"/>
      <c r="W182" s="73" t="s">
        <v>2632</v>
      </c>
      <c r="X182" s="73"/>
      <c r="Y182" s="73">
        <v>1</v>
      </c>
      <c r="Z182" s="73">
        <v>1</v>
      </c>
      <c r="AA182" s="111" t="s">
        <v>251</v>
      </c>
      <c r="AB182" s="118"/>
      <c r="AC182" s="106" t="s">
        <v>227</v>
      </c>
      <c r="AD182" s="106" t="s">
        <v>252</v>
      </c>
      <c r="AE182" s="2"/>
      <c r="AF182" s="2"/>
    </row>
    <row r="183" spans="1:32" outlineLevel="1">
      <c r="A183" s="106">
        <v>182</v>
      </c>
      <c r="B183" s="73"/>
      <c r="C183" s="73"/>
      <c r="D183" s="216"/>
      <c r="E183" s="75"/>
      <c r="F183" s="218"/>
      <c r="G183" s="75"/>
      <c r="H183" s="75"/>
      <c r="I183" s="75"/>
      <c r="J183" s="76" t="s">
        <v>1999</v>
      </c>
      <c r="K183" s="73"/>
      <c r="L183" s="113"/>
      <c r="M183" s="114"/>
      <c r="N183" s="182"/>
      <c r="O183" s="115"/>
      <c r="P183" s="115"/>
      <c r="Q183" s="116"/>
      <c r="R183" s="115"/>
      <c r="S183" s="115"/>
      <c r="T183" s="106"/>
      <c r="U183" s="106"/>
      <c r="V183" s="106"/>
      <c r="W183" s="73"/>
      <c r="X183" s="73"/>
      <c r="Y183" s="73"/>
      <c r="Z183" s="73"/>
      <c r="AA183" s="111" t="s">
        <v>222</v>
      </c>
      <c r="AB183" s="118"/>
      <c r="AC183" s="106"/>
      <c r="AD183" s="106"/>
      <c r="AE183" s="2"/>
      <c r="AF183" s="2"/>
    </row>
    <row r="184" spans="1:32" outlineLevel="1">
      <c r="A184" s="106">
        <v>183</v>
      </c>
      <c r="B184" s="89" t="s">
        <v>2035</v>
      </c>
      <c r="C184" s="73" t="s">
        <v>1897</v>
      </c>
      <c r="D184" s="216"/>
      <c r="E184" s="227" t="s">
        <v>2036</v>
      </c>
      <c r="F184" s="218"/>
      <c r="G184" s="75" t="s">
        <v>2037</v>
      </c>
      <c r="H184" s="75"/>
      <c r="I184" s="75"/>
      <c r="J184" s="76"/>
      <c r="K184" s="77" t="s">
        <v>1592</v>
      </c>
      <c r="L184" s="107"/>
      <c r="M184" s="108"/>
      <c r="N184" s="181"/>
      <c r="O184" s="119" t="s">
        <v>34</v>
      </c>
      <c r="P184" s="120">
        <v>46181</v>
      </c>
      <c r="Q184" s="173" t="s">
        <v>1566</v>
      </c>
      <c r="R184" s="109"/>
      <c r="S184" s="109"/>
      <c r="T184" s="106"/>
      <c r="U184" s="106"/>
      <c r="V184" s="106"/>
      <c r="W184" s="73" t="s">
        <v>2629</v>
      </c>
      <c r="X184" s="73">
        <v>1</v>
      </c>
      <c r="Y184" s="73">
        <v>1</v>
      </c>
      <c r="Z184" s="73"/>
      <c r="AA184" s="111" t="s">
        <v>254</v>
      </c>
      <c r="AB184" s="118"/>
      <c r="AC184" s="106" t="s">
        <v>245</v>
      </c>
      <c r="AD184" s="106" t="s">
        <v>255</v>
      </c>
      <c r="AE184" s="2"/>
      <c r="AF184" s="2"/>
    </row>
    <row r="185" spans="1:32" outlineLevel="1">
      <c r="A185" s="106">
        <v>184</v>
      </c>
      <c r="B185" s="73"/>
      <c r="C185" s="73"/>
      <c r="D185" s="216"/>
      <c r="E185" s="75"/>
      <c r="F185" s="218"/>
      <c r="G185" s="75"/>
      <c r="H185" s="75"/>
      <c r="I185" s="75"/>
      <c r="J185" s="76" t="s">
        <v>2038</v>
      </c>
      <c r="K185" s="73"/>
      <c r="L185" s="113"/>
      <c r="M185" s="114"/>
      <c r="N185" s="182"/>
      <c r="O185" s="115"/>
      <c r="P185" s="115"/>
      <c r="Q185" s="116"/>
      <c r="R185" s="115"/>
      <c r="S185" s="115"/>
      <c r="T185" s="106"/>
      <c r="U185" s="106"/>
      <c r="V185" s="106"/>
      <c r="W185" s="73"/>
      <c r="X185" s="73"/>
      <c r="Y185" s="73"/>
      <c r="Z185" s="73"/>
      <c r="AA185" s="111" t="s">
        <v>256</v>
      </c>
      <c r="AB185" s="118"/>
      <c r="AC185" s="106" t="s">
        <v>227</v>
      </c>
      <c r="AD185" s="106" t="s">
        <v>257</v>
      </c>
      <c r="AE185" s="2"/>
      <c r="AF185" s="2"/>
    </row>
    <row r="186" spans="1:32" outlineLevel="1">
      <c r="A186" s="106">
        <v>185</v>
      </c>
      <c r="B186" s="73"/>
      <c r="C186" s="73"/>
      <c r="D186" s="216"/>
      <c r="E186" s="75"/>
      <c r="F186" s="218"/>
      <c r="G186" s="75"/>
      <c r="H186" s="75"/>
      <c r="I186" s="75"/>
      <c r="J186" s="76" t="s">
        <v>2039</v>
      </c>
      <c r="K186" s="73"/>
      <c r="L186" s="113"/>
      <c r="M186" s="114"/>
      <c r="N186" s="182"/>
      <c r="O186" s="115"/>
      <c r="P186" s="115"/>
      <c r="Q186" s="116"/>
      <c r="R186" s="115"/>
      <c r="S186" s="115"/>
      <c r="T186" s="106"/>
      <c r="U186" s="106"/>
      <c r="V186" s="106"/>
      <c r="W186" s="73"/>
      <c r="X186" s="73"/>
      <c r="Y186" s="73"/>
      <c r="Z186" s="73"/>
      <c r="AA186" s="111" t="s">
        <v>258</v>
      </c>
      <c r="AB186" s="118"/>
      <c r="AC186" s="106" t="s">
        <v>259</v>
      </c>
      <c r="AD186" s="106" t="s">
        <v>260</v>
      </c>
      <c r="AE186" s="2"/>
      <c r="AF186" s="2"/>
    </row>
    <row r="187" spans="1:32" outlineLevel="1">
      <c r="A187" s="106">
        <v>186</v>
      </c>
      <c r="B187" s="73"/>
      <c r="C187" s="73"/>
      <c r="D187" s="216"/>
      <c r="E187" s="75"/>
      <c r="F187" s="218"/>
      <c r="G187" s="75"/>
      <c r="H187" s="75"/>
      <c r="I187" s="75"/>
      <c r="J187" s="76" t="s">
        <v>2018</v>
      </c>
      <c r="K187" s="73"/>
      <c r="L187" s="113"/>
      <c r="M187" s="114"/>
      <c r="N187" s="182"/>
      <c r="O187" s="115"/>
      <c r="P187" s="115"/>
      <c r="Q187" s="116"/>
      <c r="R187" s="115"/>
      <c r="S187" s="115"/>
      <c r="T187" s="106"/>
      <c r="U187" s="106"/>
      <c r="V187" s="106"/>
      <c r="W187" s="73"/>
      <c r="X187" s="73"/>
      <c r="Y187" s="73"/>
      <c r="Z187" s="73"/>
      <c r="AA187" s="111" t="s">
        <v>239</v>
      </c>
      <c r="AB187" s="118"/>
      <c r="AC187" s="106"/>
      <c r="AD187" s="106"/>
      <c r="AE187" s="2"/>
      <c r="AF187" s="2"/>
    </row>
    <row r="188" spans="1:32" outlineLevel="1">
      <c r="A188" s="106">
        <v>187</v>
      </c>
      <c r="B188" s="73"/>
      <c r="C188" s="73"/>
      <c r="D188" s="216"/>
      <c r="E188" s="75"/>
      <c r="F188" s="218"/>
      <c r="G188" s="75"/>
      <c r="H188" s="75"/>
      <c r="I188" s="75"/>
      <c r="J188" s="76" t="s">
        <v>1999</v>
      </c>
      <c r="K188" s="73"/>
      <c r="L188" s="113"/>
      <c r="M188" s="114"/>
      <c r="N188" s="182"/>
      <c r="O188" s="115"/>
      <c r="P188" s="115"/>
      <c r="Q188" s="116"/>
      <c r="R188" s="115"/>
      <c r="S188" s="115"/>
      <c r="T188" s="106"/>
      <c r="U188" s="106"/>
      <c r="V188" s="106"/>
      <c r="W188" s="73"/>
      <c r="X188" s="73"/>
      <c r="Y188" s="73"/>
      <c r="Z188" s="73"/>
      <c r="AA188" s="111" t="s">
        <v>222</v>
      </c>
      <c r="AB188" s="118"/>
      <c r="AC188" s="106" t="s">
        <v>227</v>
      </c>
      <c r="AD188" s="106" t="s">
        <v>261</v>
      </c>
      <c r="AE188" s="2"/>
      <c r="AF188" s="2"/>
    </row>
    <row r="189" spans="1:32" outlineLevel="1">
      <c r="A189" s="106">
        <v>188</v>
      </c>
      <c r="B189" s="73"/>
      <c r="C189" s="73"/>
      <c r="D189" s="216"/>
      <c r="E189" s="75"/>
      <c r="F189" s="218"/>
      <c r="G189" s="75"/>
      <c r="H189" s="75" t="s">
        <v>2040</v>
      </c>
      <c r="I189" s="75"/>
      <c r="J189" s="76"/>
      <c r="K189" s="73"/>
      <c r="L189" s="113"/>
      <c r="M189" s="114"/>
      <c r="N189" s="182"/>
      <c r="O189" s="115"/>
      <c r="P189" s="115"/>
      <c r="Q189" s="116"/>
      <c r="R189" s="115"/>
      <c r="S189" s="115"/>
      <c r="T189" s="106"/>
      <c r="U189" s="106"/>
      <c r="V189" s="106"/>
      <c r="W189" s="73"/>
      <c r="X189" s="73"/>
      <c r="Y189" s="73"/>
      <c r="Z189" s="73"/>
      <c r="AA189" s="111" t="s">
        <v>263</v>
      </c>
      <c r="AB189" s="118"/>
      <c r="AC189" s="106"/>
      <c r="AD189" s="106"/>
      <c r="AE189" s="2"/>
      <c r="AF189" s="2"/>
    </row>
    <row r="190" spans="1:32" outlineLevel="1">
      <c r="A190" s="106">
        <v>189</v>
      </c>
      <c r="B190" s="73"/>
      <c r="C190" s="87" t="s">
        <v>1883</v>
      </c>
      <c r="D190" s="216"/>
      <c r="E190" s="227" t="s">
        <v>2041</v>
      </c>
      <c r="F190" s="218"/>
      <c r="G190" s="75" t="s">
        <v>2042</v>
      </c>
      <c r="H190" s="75"/>
      <c r="I190" s="75"/>
      <c r="J190" s="76"/>
      <c r="K190" s="73"/>
      <c r="L190" s="113"/>
      <c r="M190" s="114"/>
      <c r="N190" s="182"/>
      <c r="O190" s="115"/>
      <c r="P190" s="115"/>
      <c r="Q190" s="116"/>
      <c r="R190" s="115"/>
      <c r="S190" s="115"/>
      <c r="T190" s="106"/>
      <c r="U190" s="106"/>
      <c r="V190" s="106"/>
      <c r="W190" s="73"/>
      <c r="X190" s="73"/>
      <c r="Y190" s="73"/>
      <c r="Z190" s="73"/>
      <c r="AA190" s="111" t="s">
        <v>265</v>
      </c>
      <c r="AB190" s="118"/>
      <c r="AC190" s="106" t="s">
        <v>227</v>
      </c>
      <c r="AD190" s="106" t="s">
        <v>228</v>
      </c>
      <c r="AE190" s="2"/>
      <c r="AF190" s="2"/>
    </row>
    <row r="191" spans="1:32" outlineLevel="1">
      <c r="A191" s="106">
        <v>190</v>
      </c>
      <c r="B191" s="73" t="s">
        <v>2043</v>
      </c>
      <c r="C191" s="73" t="s">
        <v>1897</v>
      </c>
      <c r="D191" s="216"/>
      <c r="E191" s="227" t="s">
        <v>2044</v>
      </c>
      <c r="F191" s="218"/>
      <c r="G191" s="75"/>
      <c r="H191" s="75" t="s">
        <v>2045</v>
      </c>
      <c r="I191" s="75"/>
      <c r="J191" s="76" t="s">
        <v>2046</v>
      </c>
      <c r="K191" s="77" t="s">
        <v>1592</v>
      </c>
      <c r="L191" s="107"/>
      <c r="M191" s="108"/>
      <c r="N191" s="181"/>
      <c r="O191" s="119" t="s">
        <v>34</v>
      </c>
      <c r="P191" s="120">
        <v>46181</v>
      </c>
      <c r="Q191" s="173" t="s">
        <v>1566</v>
      </c>
      <c r="R191" s="109"/>
      <c r="S191" s="109"/>
      <c r="T191" s="106"/>
      <c r="U191" s="106"/>
      <c r="V191" s="106"/>
      <c r="W191" s="73" t="s">
        <v>2631</v>
      </c>
      <c r="X191" s="73">
        <v>1</v>
      </c>
      <c r="Y191" s="73">
        <v>1</v>
      </c>
      <c r="Z191" s="73"/>
      <c r="AA191" s="111" t="s">
        <v>266</v>
      </c>
      <c r="AB191" s="118"/>
      <c r="AC191" s="106" t="s">
        <v>227</v>
      </c>
      <c r="AD191" s="106" t="s">
        <v>267</v>
      </c>
      <c r="AE191" s="2"/>
      <c r="AF191" s="2"/>
    </row>
    <row r="192" spans="1:32" outlineLevel="1">
      <c r="A192" s="106">
        <v>191</v>
      </c>
      <c r="B192" s="73" t="s">
        <v>2047</v>
      </c>
      <c r="C192" s="73" t="s">
        <v>1897</v>
      </c>
      <c r="D192" s="216"/>
      <c r="E192" s="226" t="s">
        <v>2048</v>
      </c>
      <c r="F192" s="218"/>
      <c r="G192" s="75"/>
      <c r="H192" s="75"/>
      <c r="I192" s="75" t="s">
        <v>2049</v>
      </c>
      <c r="J192" s="76"/>
      <c r="K192" s="77" t="s">
        <v>1592</v>
      </c>
      <c r="L192" s="107"/>
      <c r="M192" s="108"/>
      <c r="N192" s="181"/>
      <c r="O192" s="119" t="s">
        <v>34</v>
      </c>
      <c r="P192" s="120">
        <v>46181</v>
      </c>
      <c r="Q192" s="173" t="s">
        <v>1566</v>
      </c>
      <c r="R192" s="109"/>
      <c r="S192" s="109"/>
      <c r="T192" s="106"/>
      <c r="U192" s="106"/>
      <c r="V192" s="106"/>
      <c r="W192" s="73" t="s">
        <v>2632</v>
      </c>
      <c r="X192" s="73"/>
      <c r="Y192" s="73">
        <v>1</v>
      </c>
      <c r="Z192" s="73">
        <v>1</v>
      </c>
      <c r="AA192" s="111" t="s">
        <v>268</v>
      </c>
      <c r="AB192" s="118"/>
      <c r="AC192" s="106" t="s">
        <v>227</v>
      </c>
      <c r="AD192" s="106" t="s">
        <v>267</v>
      </c>
      <c r="AE192" s="2"/>
      <c r="AF192" s="2"/>
    </row>
    <row r="193" spans="1:32" outlineLevel="1">
      <c r="A193" s="106">
        <v>192</v>
      </c>
      <c r="B193" s="73" t="s">
        <v>269</v>
      </c>
      <c r="C193" s="87" t="s">
        <v>1883</v>
      </c>
      <c r="D193" s="216"/>
      <c r="E193" s="226" t="s">
        <v>2050</v>
      </c>
      <c r="F193" s="218"/>
      <c r="G193" s="75"/>
      <c r="H193" s="75"/>
      <c r="I193" s="75" t="s">
        <v>2051</v>
      </c>
      <c r="J193" s="76"/>
      <c r="K193" s="77" t="s">
        <v>1592</v>
      </c>
      <c r="L193" s="107"/>
      <c r="M193" s="108"/>
      <c r="N193" s="181"/>
      <c r="O193" s="119" t="s">
        <v>34</v>
      </c>
      <c r="P193" s="120">
        <v>46181</v>
      </c>
      <c r="Q193" s="173" t="s">
        <v>1566</v>
      </c>
      <c r="R193" s="109"/>
      <c r="S193" s="109"/>
      <c r="T193" s="106"/>
      <c r="U193" s="106"/>
      <c r="V193" s="106"/>
      <c r="W193" s="73" t="s">
        <v>2632</v>
      </c>
      <c r="X193" s="73"/>
      <c r="Y193" s="73">
        <v>1</v>
      </c>
      <c r="Z193" s="73">
        <v>1</v>
      </c>
      <c r="AA193" s="111" t="s">
        <v>270</v>
      </c>
      <c r="AB193" s="118"/>
      <c r="AC193" s="106" t="s">
        <v>227</v>
      </c>
      <c r="AD193" s="106" t="s">
        <v>267</v>
      </c>
      <c r="AE193" s="2"/>
      <c r="AF193" s="2"/>
    </row>
    <row r="194" spans="1:32" outlineLevel="1">
      <c r="A194" s="106">
        <v>193</v>
      </c>
      <c r="B194" s="73" t="s">
        <v>271</v>
      </c>
      <c r="C194" s="73" t="s">
        <v>1897</v>
      </c>
      <c r="D194" s="216"/>
      <c r="E194" s="226" t="s">
        <v>2052</v>
      </c>
      <c r="F194" s="218"/>
      <c r="G194" s="75"/>
      <c r="H194" s="75"/>
      <c r="I194" s="75" t="s">
        <v>2053</v>
      </c>
      <c r="J194" s="76"/>
      <c r="K194" s="77" t="s">
        <v>1592</v>
      </c>
      <c r="L194" s="107"/>
      <c r="M194" s="108"/>
      <c r="N194" s="181"/>
      <c r="O194" s="119" t="s">
        <v>34</v>
      </c>
      <c r="P194" s="120">
        <v>46181</v>
      </c>
      <c r="Q194" s="173" t="s">
        <v>1566</v>
      </c>
      <c r="R194" s="109"/>
      <c r="S194" s="109"/>
      <c r="T194" s="106"/>
      <c r="U194" s="106"/>
      <c r="V194" s="106"/>
      <c r="W194" s="73" t="s">
        <v>2626</v>
      </c>
      <c r="X194" s="73"/>
      <c r="Y194" s="73">
        <v>1</v>
      </c>
      <c r="Z194" s="73">
        <v>1</v>
      </c>
      <c r="AA194" s="111" t="s">
        <v>272</v>
      </c>
      <c r="AB194" s="118"/>
      <c r="AC194" s="106" t="s">
        <v>227</v>
      </c>
      <c r="AD194" s="106" t="s">
        <v>267</v>
      </c>
      <c r="AE194" s="2"/>
      <c r="AF194" s="2"/>
    </row>
    <row r="195" spans="1:32" outlineLevel="1">
      <c r="A195" s="106">
        <v>194</v>
      </c>
      <c r="B195" s="73" t="s">
        <v>2054</v>
      </c>
      <c r="C195" s="73" t="s">
        <v>1897</v>
      </c>
      <c r="D195" s="216"/>
      <c r="E195" s="226" t="s">
        <v>2055</v>
      </c>
      <c r="F195" s="218"/>
      <c r="G195" s="75"/>
      <c r="H195" s="75" t="s">
        <v>2056</v>
      </c>
      <c r="I195" s="75"/>
      <c r="J195" s="76" t="s">
        <v>2057</v>
      </c>
      <c r="K195" s="77" t="s">
        <v>1592</v>
      </c>
      <c r="L195" s="107" t="s">
        <v>25</v>
      </c>
      <c r="M195" s="108"/>
      <c r="N195" s="181" t="s">
        <v>39</v>
      </c>
      <c r="O195" s="109" t="s">
        <v>24</v>
      </c>
      <c r="P195" s="109"/>
      <c r="Q195" s="110"/>
      <c r="R195" s="109"/>
      <c r="S195" s="109"/>
      <c r="T195" s="106"/>
      <c r="U195" s="106"/>
      <c r="V195" s="106"/>
      <c r="W195" s="73" t="s">
        <v>2629</v>
      </c>
      <c r="X195" s="73">
        <v>1</v>
      </c>
      <c r="Y195" s="73">
        <v>1</v>
      </c>
      <c r="Z195" s="73"/>
      <c r="AA195" s="111" t="s">
        <v>273</v>
      </c>
      <c r="AB195" s="118"/>
      <c r="AC195" s="106"/>
      <c r="AD195" s="106"/>
      <c r="AE195" s="2"/>
      <c r="AF195" s="2"/>
    </row>
    <row r="196" spans="1:32" outlineLevel="1">
      <c r="A196" s="106">
        <v>195</v>
      </c>
      <c r="B196" s="73" t="s">
        <v>274</v>
      </c>
      <c r="C196" s="73" t="s">
        <v>1897</v>
      </c>
      <c r="D196" s="216"/>
      <c r="E196" s="226" t="s">
        <v>2058</v>
      </c>
      <c r="F196" s="218"/>
      <c r="G196" s="75"/>
      <c r="H196" s="75" t="s">
        <v>2059</v>
      </c>
      <c r="I196" s="75"/>
      <c r="J196" s="76"/>
      <c r="K196" s="77" t="s">
        <v>1592</v>
      </c>
      <c r="L196" s="107" t="s">
        <v>25</v>
      </c>
      <c r="M196" s="108"/>
      <c r="N196" s="181" t="s">
        <v>39</v>
      </c>
      <c r="O196" s="109" t="s">
        <v>24</v>
      </c>
      <c r="P196" s="109"/>
      <c r="Q196" s="110"/>
      <c r="R196" s="109"/>
      <c r="S196" s="109"/>
      <c r="T196" s="106"/>
      <c r="U196" s="106"/>
      <c r="V196" s="106"/>
      <c r="W196" s="73" t="s">
        <v>2629</v>
      </c>
      <c r="X196" s="73">
        <v>1</v>
      </c>
      <c r="Y196" s="73">
        <v>1</v>
      </c>
      <c r="Z196" s="73"/>
      <c r="AA196" s="111" t="s">
        <v>275</v>
      </c>
      <c r="AB196" s="118"/>
      <c r="AC196" s="106"/>
      <c r="AD196" s="106"/>
      <c r="AE196" s="2"/>
      <c r="AF196" s="2"/>
    </row>
    <row r="197" spans="1:32" outlineLevel="1">
      <c r="A197" s="106">
        <v>196</v>
      </c>
      <c r="B197" s="73" t="s">
        <v>276</v>
      </c>
      <c r="C197" s="73" t="s">
        <v>1897</v>
      </c>
      <c r="D197" s="216"/>
      <c r="E197" s="226" t="s">
        <v>2060</v>
      </c>
      <c r="F197" s="218"/>
      <c r="G197" s="75"/>
      <c r="H197" s="75" t="s">
        <v>2061</v>
      </c>
      <c r="I197" s="75"/>
      <c r="J197" s="76"/>
      <c r="K197" s="77" t="s">
        <v>1592</v>
      </c>
      <c r="L197" s="107" t="s">
        <v>25</v>
      </c>
      <c r="M197" s="108"/>
      <c r="N197" s="181" t="s">
        <v>39</v>
      </c>
      <c r="O197" s="109" t="s">
        <v>24</v>
      </c>
      <c r="P197" s="109"/>
      <c r="Q197" s="110"/>
      <c r="R197" s="109"/>
      <c r="S197" s="109"/>
      <c r="T197" s="106"/>
      <c r="U197" s="106"/>
      <c r="V197" s="106"/>
      <c r="W197" s="73" t="s">
        <v>2631</v>
      </c>
      <c r="X197" s="73">
        <v>1</v>
      </c>
      <c r="Y197" s="73">
        <v>1</v>
      </c>
      <c r="Z197" s="73"/>
      <c r="AA197" s="112"/>
      <c r="AB197" s="118"/>
      <c r="AC197" s="106"/>
      <c r="AD197" s="106"/>
      <c r="AE197" s="2"/>
      <c r="AF197" s="2"/>
    </row>
    <row r="198" spans="1:32" outlineLevel="1">
      <c r="A198" s="106">
        <v>197</v>
      </c>
      <c r="B198" s="73" t="s">
        <v>277</v>
      </c>
      <c r="C198" s="73" t="s">
        <v>1897</v>
      </c>
      <c r="D198" s="216"/>
      <c r="E198" s="226" t="s">
        <v>2062</v>
      </c>
      <c r="F198" s="218"/>
      <c r="G198" s="75"/>
      <c r="H198" s="75" t="s">
        <v>2063</v>
      </c>
      <c r="I198" s="75"/>
      <c r="J198" s="76"/>
      <c r="K198" s="77" t="s">
        <v>1592</v>
      </c>
      <c r="L198" s="107" t="s">
        <v>25</v>
      </c>
      <c r="M198" s="108"/>
      <c r="N198" s="181" t="s">
        <v>39</v>
      </c>
      <c r="O198" s="109" t="s">
        <v>24</v>
      </c>
      <c r="P198" s="109"/>
      <c r="Q198" s="110"/>
      <c r="R198" s="109"/>
      <c r="S198" s="109"/>
      <c r="T198" s="106"/>
      <c r="U198" s="106"/>
      <c r="V198" s="106"/>
      <c r="W198" s="73" t="s">
        <v>2628</v>
      </c>
      <c r="X198" s="73">
        <v>1</v>
      </c>
      <c r="Y198" s="73">
        <v>1</v>
      </c>
      <c r="Z198" s="73"/>
      <c r="AA198" s="112"/>
      <c r="AB198" s="118"/>
      <c r="AC198" s="106"/>
      <c r="AD198" s="106"/>
      <c r="AE198" s="2"/>
      <c r="AF198" s="2"/>
    </row>
    <row r="199" spans="1:32" outlineLevel="1">
      <c r="A199" s="106">
        <v>198</v>
      </c>
      <c r="B199" s="73" t="s">
        <v>2064</v>
      </c>
      <c r="C199" s="73" t="s">
        <v>1897</v>
      </c>
      <c r="D199" s="216"/>
      <c r="E199" s="215" t="s">
        <v>2065</v>
      </c>
      <c r="F199" s="218"/>
      <c r="G199" s="75"/>
      <c r="H199" s="75"/>
      <c r="I199" s="75" t="s">
        <v>2066</v>
      </c>
      <c r="J199" s="76"/>
      <c r="K199" s="77" t="s">
        <v>1592</v>
      </c>
      <c r="L199" s="107"/>
      <c r="M199" s="108"/>
      <c r="N199" s="181"/>
      <c r="O199" s="119" t="s">
        <v>34</v>
      </c>
      <c r="P199" s="120">
        <v>46181</v>
      </c>
      <c r="Q199" s="173" t="s">
        <v>1566</v>
      </c>
      <c r="R199" s="109"/>
      <c r="S199" s="109"/>
      <c r="T199" s="106"/>
      <c r="U199" s="106"/>
      <c r="V199" s="106"/>
      <c r="W199" s="73" t="s">
        <v>2630</v>
      </c>
      <c r="X199" s="73"/>
      <c r="Y199" s="73">
        <v>1</v>
      </c>
      <c r="Z199" s="73">
        <v>1</v>
      </c>
      <c r="AA199" s="111" t="s">
        <v>278</v>
      </c>
      <c r="AB199" s="118"/>
      <c r="AC199" s="106" t="s">
        <v>227</v>
      </c>
      <c r="AD199" s="106" t="s">
        <v>267</v>
      </c>
      <c r="AE199" s="2"/>
      <c r="AF199" s="2"/>
    </row>
    <row r="200" spans="1:32" outlineLevel="1">
      <c r="A200" s="106">
        <v>199</v>
      </c>
      <c r="B200" s="73" t="s">
        <v>279</v>
      </c>
      <c r="C200" s="73" t="s">
        <v>1897</v>
      </c>
      <c r="D200" s="216"/>
      <c r="E200" s="227" t="s">
        <v>2067</v>
      </c>
      <c r="F200" s="218"/>
      <c r="G200" s="75"/>
      <c r="H200" s="75" t="s">
        <v>2068</v>
      </c>
      <c r="I200" s="75"/>
      <c r="J200" s="76"/>
      <c r="K200" s="77" t="s">
        <v>1592</v>
      </c>
      <c r="L200" s="107" t="s">
        <v>25</v>
      </c>
      <c r="M200" s="108"/>
      <c r="N200" s="181" t="s">
        <v>39</v>
      </c>
      <c r="O200" s="109" t="s">
        <v>24</v>
      </c>
      <c r="P200" s="109"/>
      <c r="Q200" s="110"/>
      <c r="R200" s="109"/>
      <c r="S200" s="109"/>
      <c r="T200" s="106"/>
      <c r="U200" s="106"/>
      <c r="V200" s="106"/>
      <c r="W200" s="73" t="s">
        <v>2629</v>
      </c>
      <c r="X200" s="73">
        <v>1</v>
      </c>
      <c r="Y200" s="73">
        <v>1</v>
      </c>
      <c r="Z200" s="73"/>
      <c r="AA200" s="112"/>
      <c r="AB200" s="118"/>
      <c r="AC200" s="106"/>
      <c r="AD200" s="106"/>
      <c r="AE200" s="2"/>
      <c r="AF200" s="2"/>
    </row>
    <row r="201" spans="1:32" outlineLevel="1">
      <c r="A201" s="106">
        <v>200</v>
      </c>
      <c r="B201" s="73" t="s">
        <v>2069</v>
      </c>
      <c r="C201" s="73" t="s">
        <v>1897</v>
      </c>
      <c r="D201" s="216"/>
      <c r="E201" s="227" t="s">
        <v>2070</v>
      </c>
      <c r="F201" s="218"/>
      <c r="G201" s="75"/>
      <c r="H201" s="75"/>
      <c r="I201" s="75" t="s">
        <v>2071</v>
      </c>
      <c r="J201" s="76"/>
      <c r="K201" s="77" t="s">
        <v>1592</v>
      </c>
      <c r="L201" s="107"/>
      <c r="M201" s="108"/>
      <c r="N201" s="181"/>
      <c r="O201" s="119" t="s">
        <v>34</v>
      </c>
      <c r="P201" s="120">
        <v>46181</v>
      </c>
      <c r="Q201" s="173" t="s">
        <v>1566</v>
      </c>
      <c r="R201" s="109"/>
      <c r="S201" s="109"/>
      <c r="T201" s="106"/>
      <c r="U201" s="106"/>
      <c r="V201" s="106"/>
      <c r="W201" s="73" t="s">
        <v>2632</v>
      </c>
      <c r="X201" s="73"/>
      <c r="Y201" s="73">
        <v>1</v>
      </c>
      <c r="Z201" s="73">
        <v>1</v>
      </c>
      <c r="AA201" s="112"/>
      <c r="AB201" s="118"/>
      <c r="AC201" s="106"/>
      <c r="AD201" s="106"/>
      <c r="AE201" s="2"/>
      <c r="AF201" s="2"/>
    </row>
    <row r="202" spans="1:32" outlineLevel="1">
      <c r="A202" s="106">
        <v>201</v>
      </c>
      <c r="B202" s="73" t="s">
        <v>2072</v>
      </c>
      <c r="C202" s="73" t="s">
        <v>1897</v>
      </c>
      <c r="D202" s="216"/>
      <c r="E202" s="226" t="s">
        <v>2073</v>
      </c>
      <c r="F202" s="218"/>
      <c r="G202" s="75"/>
      <c r="H202" s="75" t="s">
        <v>2074</v>
      </c>
      <c r="I202" s="75"/>
      <c r="J202" s="76" t="s">
        <v>2038</v>
      </c>
      <c r="K202" s="77" t="s">
        <v>1592</v>
      </c>
      <c r="L202" s="107" t="s">
        <v>25</v>
      </c>
      <c r="M202" s="108"/>
      <c r="N202" s="181" t="s">
        <v>39</v>
      </c>
      <c r="O202" s="109" t="s">
        <v>24</v>
      </c>
      <c r="P202" s="109"/>
      <c r="Q202" s="110"/>
      <c r="R202" s="109"/>
      <c r="S202" s="109"/>
      <c r="T202" s="106"/>
      <c r="U202" s="106"/>
      <c r="V202" s="106"/>
      <c r="W202" s="73" t="s">
        <v>2629</v>
      </c>
      <c r="X202" s="73">
        <v>1</v>
      </c>
      <c r="Y202" s="73">
        <v>1</v>
      </c>
      <c r="Z202" s="73"/>
      <c r="AA202" s="111" t="s">
        <v>256</v>
      </c>
      <c r="AB202" s="118"/>
      <c r="AC202" s="106" t="s">
        <v>234</v>
      </c>
      <c r="AD202" s="106" t="s">
        <v>282</v>
      </c>
      <c r="AE202" s="2"/>
      <c r="AF202" s="2"/>
    </row>
    <row r="203" spans="1:32" outlineLevel="1">
      <c r="A203" s="106">
        <v>202</v>
      </c>
      <c r="B203" s="73" t="s">
        <v>2075</v>
      </c>
      <c r="C203" s="73" t="s">
        <v>1897</v>
      </c>
      <c r="D203" s="216"/>
      <c r="E203" s="226" t="s">
        <v>2076</v>
      </c>
      <c r="F203" s="218"/>
      <c r="G203" s="75"/>
      <c r="H203" s="75"/>
      <c r="I203" s="75"/>
      <c r="J203" s="76" t="s">
        <v>2039</v>
      </c>
      <c r="K203" s="77" t="s">
        <v>1592</v>
      </c>
      <c r="L203" s="107"/>
      <c r="M203" s="108"/>
      <c r="N203" s="181"/>
      <c r="O203" s="109"/>
      <c r="P203" s="109"/>
      <c r="Q203" s="110"/>
      <c r="R203" s="109"/>
      <c r="S203" s="109"/>
      <c r="T203" s="106"/>
      <c r="U203" s="106"/>
      <c r="V203" s="106"/>
      <c r="W203" s="73" t="s">
        <v>2632</v>
      </c>
      <c r="X203" s="73"/>
      <c r="Y203" s="73">
        <v>1</v>
      </c>
      <c r="Z203" s="73">
        <v>1</v>
      </c>
      <c r="AA203" s="111" t="s">
        <v>258</v>
      </c>
      <c r="AB203" s="118"/>
      <c r="AC203" s="106" t="s">
        <v>283</v>
      </c>
      <c r="AD203" s="106" t="s">
        <v>284</v>
      </c>
      <c r="AE203" s="2"/>
      <c r="AF203" s="2"/>
    </row>
    <row r="204" spans="1:32" outlineLevel="1">
      <c r="A204" s="106">
        <v>203</v>
      </c>
      <c r="B204" s="73" t="s">
        <v>285</v>
      </c>
      <c r="C204" s="73" t="s">
        <v>1897</v>
      </c>
      <c r="D204" s="216"/>
      <c r="E204" s="226" t="s">
        <v>2077</v>
      </c>
      <c r="F204" s="218"/>
      <c r="G204" s="75"/>
      <c r="H204" s="75" t="s">
        <v>2078</v>
      </c>
      <c r="I204" s="75"/>
      <c r="J204" s="76"/>
      <c r="K204" s="77" t="s">
        <v>1592</v>
      </c>
      <c r="L204" s="107" t="s">
        <v>25</v>
      </c>
      <c r="M204" s="108"/>
      <c r="N204" s="181" t="s">
        <v>39</v>
      </c>
      <c r="O204" s="109" t="s">
        <v>24</v>
      </c>
      <c r="P204" s="109"/>
      <c r="Q204" s="110"/>
      <c r="R204" s="109"/>
      <c r="S204" s="109"/>
      <c r="T204" s="106"/>
      <c r="U204" s="106"/>
      <c r="V204" s="106"/>
      <c r="W204" s="73" t="s">
        <v>2629</v>
      </c>
      <c r="X204" s="73">
        <v>1</v>
      </c>
      <c r="Y204" s="73">
        <v>1</v>
      </c>
      <c r="Z204" s="73"/>
      <c r="AA204" s="112"/>
      <c r="AB204" s="118"/>
      <c r="AC204" s="106"/>
      <c r="AD204" s="106"/>
      <c r="AE204" s="2"/>
      <c r="AF204" s="2"/>
    </row>
    <row r="205" spans="1:32" outlineLevel="1">
      <c r="A205" s="106">
        <v>204</v>
      </c>
      <c r="B205" s="73" t="s">
        <v>2079</v>
      </c>
      <c r="C205" s="73" t="s">
        <v>1897</v>
      </c>
      <c r="D205" s="216"/>
      <c r="E205" s="226" t="s">
        <v>2080</v>
      </c>
      <c r="F205" s="218"/>
      <c r="G205" s="75"/>
      <c r="H205" s="75"/>
      <c r="I205" s="75" t="s">
        <v>2081</v>
      </c>
      <c r="J205" s="76"/>
      <c r="K205" s="77" t="s">
        <v>1592</v>
      </c>
      <c r="L205" s="107" t="s">
        <v>25</v>
      </c>
      <c r="M205" s="108"/>
      <c r="N205" s="181" t="s">
        <v>39</v>
      </c>
      <c r="O205" s="109" t="s">
        <v>24</v>
      </c>
      <c r="P205" s="109"/>
      <c r="Q205" s="110"/>
      <c r="R205" s="109"/>
      <c r="S205" s="109"/>
      <c r="T205" s="106"/>
      <c r="U205" s="106"/>
      <c r="V205" s="106"/>
      <c r="W205" s="73" t="s">
        <v>2632</v>
      </c>
      <c r="X205" s="73"/>
      <c r="Y205" s="73">
        <v>1</v>
      </c>
      <c r="Z205" s="73">
        <v>1</v>
      </c>
      <c r="AA205" s="111" t="s">
        <v>286</v>
      </c>
      <c r="AB205" s="118"/>
      <c r="AC205" s="106"/>
      <c r="AD205" s="106"/>
      <c r="AE205" s="2"/>
      <c r="AF205" s="2"/>
    </row>
    <row r="206" spans="1:32" outlineLevel="1">
      <c r="A206" s="106">
        <v>205</v>
      </c>
      <c r="B206" s="73" t="s">
        <v>287</v>
      </c>
      <c r="C206" s="73" t="s">
        <v>1897</v>
      </c>
      <c r="D206" s="216"/>
      <c r="E206" s="226" t="s">
        <v>2082</v>
      </c>
      <c r="F206" s="218"/>
      <c r="G206" s="75"/>
      <c r="H206" s="75"/>
      <c r="I206" s="75" t="s">
        <v>2083</v>
      </c>
      <c r="J206" s="76"/>
      <c r="K206" s="77" t="s">
        <v>1592</v>
      </c>
      <c r="L206" s="107"/>
      <c r="M206" s="108"/>
      <c r="N206" s="181"/>
      <c r="O206" s="119" t="s">
        <v>34</v>
      </c>
      <c r="P206" s="120">
        <v>46181</v>
      </c>
      <c r="Q206" s="110" t="s">
        <v>1571</v>
      </c>
      <c r="R206" s="109"/>
      <c r="S206" s="109"/>
      <c r="T206" s="106"/>
      <c r="U206" s="106"/>
      <c r="V206" s="106"/>
      <c r="W206" s="73" t="s">
        <v>2630</v>
      </c>
      <c r="X206" s="73"/>
      <c r="Y206" s="73">
        <v>1</v>
      </c>
      <c r="Z206" s="73">
        <v>1</v>
      </c>
      <c r="AA206" s="111" t="s">
        <v>288</v>
      </c>
      <c r="AB206" s="118"/>
      <c r="AC206" s="106"/>
      <c r="AD206" s="106"/>
      <c r="AE206" s="2"/>
      <c r="AF206" s="2"/>
    </row>
    <row r="207" spans="1:32" outlineLevel="1">
      <c r="A207" s="106">
        <v>206</v>
      </c>
      <c r="B207" s="73" t="s">
        <v>289</v>
      </c>
      <c r="C207" s="73" t="s">
        <v>1897</v>
      </c>
      <c r="D207" s="216"/>
      <c r="E207" s="226" t="s">
        <v>2084</v>
      </c>
      <c r="F207" s="218"/>
      <c r="G207" s="75"/>
      <c r="H207" s="75"/>
      <c r="I207" s="75" t="s">
        <v>2085</v>
      </c>
      <c r="J207" s="76"/>
      <c r="K207" s="77" t="s">
        <v>1592</v>
      </c>
      <c r="L207" s="107"/>
      <c r="M207" s="108"/>
      <c r="N207" s="181"/>
      <c r="O207" s="119" t="s">
        <v>34</v>
      </c>
      <c r="P207" s="120">
        <v>46181</v>
      </c>
      <c r="Q207" s="110" t="s">
        <v>1571</v>
      </c>
      <c r="R207" s="109"/>
      <c r="S207" s="109"/>
      <c r="T207" s="106"/>
      <c r="U207" s="106"/>
      <c r="V207" s="106"/>
      <c r="W207" s="73" t="s">
        <v>2626</v>
      </c>
      <c r="X207" s="73"/>
      <c r="Y207" s="73">
        <v>1</v>
      </c>
      <c r="Z207" s="73">
        <v>1</v>
      </c>
      <c r="AA207" s="111" t="s">
        <v>290</v>
      </c>
      <c r="AB207" s="118"/>
      <c r="AC207" s="106"/>
      <c r="AD207" s="106"/>
      <c r="AE207" s="2"/>
      <c r="AF207" s="2"/>
    </row>
    <row r="208" spans="1:32" outlineLevel="1">
      <c r="A208" s="106">
        <v>207</v>
      </c>
      <c r="B208" s="73" t="s">
        <v>291</v>
      </c>
      <c r="C208" s="73" t="s">
        <v>1897</v>
      </c>
      <c r="D208" s="216"/>
      <c r="E208" s="226" t="s">
        <v>2086</v>
      </c>
      <c r="F208" s="218"/>
      <c r="G208" s="75"/>
      <c r="H208" s="75"/>
      <c r="I208" s="75" t="s">
        <v>292</v>
      </c>
      <c r="J208" s="76"/>
      <c r="K208" s="77" t="s">
        <v>1592</v>
      </c>
      <c r="L208" s="107"/>
      <c r="M208" s="108"/>
      <c r="N208" s="181"/>
      <c r="O208" s="119" t="s">
        <v>34</v>
      </c>
      <c r="P208" s="120">
        <v>46181</v>
      </c>
      <c r="Q208" s="110" t="s">
        <v>1571</v>
      </c>
      <c r="R208" s="109"/>
      <c r="S208" s="109"/>
      <c r="T208" s="106"/>
      <c r="U208" s="106"/>
      <c r="V208" s="106"/>
      <c r="W208" s="73" t="s">
        <v>2630</v>
      </c>
      <c r="X208" s="73"/>
      <c r="Y208" s="73">
        <v>1</v>
      </c>
      <c r="Z208" s="73">
        <v>1</v>
      </c>
      <c r="AA208" s="111" t="s">
        <v>293</v>
      </c>
      <c r="AB208" s="118"/>
      <c r="AC208" s="106"/>
      <c r="AD208" s="106"/>
      <c r="AE208" s="2"/>
      <c r="AF208" s="2"/>
    </row>
    <row r="209" spans="1:32" outlineLevel="1">
      <c r="A209" s="106">
        <v>208</v>
      </c>
      <c r="B209" s="73" t="s">
        <v>294</v>
      </c>
      <c r="C209" s="73" t="s">
        <v>1897</v>
      </c>
      <c r="D209" s="216"/>
      <c r="E209" s="226" t="s">
        <v>2087</v>
      </c>
      <c r="F209" s="218"/>
      <c r="G209" s="75"/>
      <c r="H209" s="75"/>
      <c r="I209" s="75" t="s">
        <v>295</v>
      </c>
      <c r="J209" s="76"/>
      <c r="K209" s="77" t="s">
        <v>1592</v>
      </c>
      <c r="L209" s="107" t="s">
        <v>25</v>
      </c>
      <c r="M209" s="108"/>
      <c r="N209" s="181" t="s">
        <v>39</v>
      </c>
      <c r="O209" s="119" t="s">
        <v>34</v>
      </c>
      <c r="P209" s="120">
        <v>46181</v>
      </c>
      <c r="Q209" s="173" t="s">
        <v>1564</v>
      </c>
      <c r="R209" s="109"/>
      <c r="S209" s="109"/>
      <c r="T209" s="106"/>
      <c r="U209" s="106"/>
      <c r="V209" s="106"/>
      <c r="W209" s="73" t="s">
        <v>2630</v>
      </c>
      <c r="X209" s="73"/>
      <c r="Y209" s="73">
        <v>1</v>
      </c>
      <c r="Z209" s="73">
        <v>1</v>
      </c>
      <c r="AA209" s="111" t="s">
        <v>296</v>
      </c>
      <c r="AB209" s="118"/>
      <c r="AC209" s="106"/>
      <c r="AD209" s="106"/>
      <c r="AE209" s="2"/>
      <c r="AF209" s="2"/>
    </row>
    <row r="210" spans="1:32" outlineLevel="1">
      <c r="A210" s="106">
        <v>209</v>
      </c>
      <c r="B210" s="73" t="s">
        <v>297</v>
      </c>
      <c r="C210" s="73" t="s">
        <v>1897</v>
      </c>
      <c r="D210" s="216"/>
      <c r="E210" s="226" t="s">
        <v>2088</v>
      </c>
      <c r="F210" s="218"/>
      <c r="G210" s="75"/>
      <c r="H210" s="75"/>
      <c r="I210" s="75" t="s">
        <v>2089</v>
      </c>
      <c r="J210" s="76"/>
      <c r="K210" s="77" t="s">
        <v>1592</v>
      </c>
      <c r="L210" s="107"/>
      <c r="M210" s="108"/>
      <c r="N210" s="181"/>
      <c r="O210" s="109" t="s">
        <v>24</v>
      </c>
      <c r="P210" s="109"/>
      <c r="Q210" s="110"/>
      <c r="R210" s="109"/>
      <c r="S210" s="109"/>
      <c r="T210" s="106"/>
      <c r="U210" s="106"/>
      <c r="V210" s="106"/>
      <c r="W210" s="73" t="s">
        <v>2632</v>
      </c>
      <c r="X210" s="73"/>
      <c r="Y210" s="73">
        <v>1</v>
      </c>
      <c r="Z210" s="73">
        <v>1</v>
      </c>
      <c r="AA210" s="111" t="s">
        <v>298</v>
      </c>
      <c r="AB210" s="118"/>
      <c r="AC210" s="106"/>
      <c r="AD210" s="106"/>
      <c r="AE210" s="2"/>
      <c r="AF210" s="2"/>
    </row>
    <row r="211" spans="1:32" outlineLevel="1">
      <c r="A211" s="106">
        <v>210</v>
      </c>
      <c r="B211" s="73" t="s">
        <v>2090</v>
      </c>
      <c r="C211" s="73" t="s">
        <v>1897</v>
      </c>
      <c r="D211" s="216"/>
      <c r="E211" s="215" t="s">
        <v>2091</v>
      </c>
      <c r="F211" s="218"/>
      <c r="G211" s="75"/>
      <c r="H211" s="75" t="s">
        <v>2018</v>
      </c>
      <c r="I211" s="75"/>
      <c r="J211" s="76" t="s">
        <v>2018</v>
      </c>
      <c r="K211" s="77" t="s">
        <v>1592</v>
      </c>
      <c r="L211" s="107" t="s">
        <v>25</v>
      </c>
      <c r="M211" s="108"/>
      <c r="N211" s="181"/>
      <c r="O211" s="119" t="s">
        <v>34</v>
      </c>
      <c r="P211" s="120">
        <v>46181</v>
      </c>
      <c r="Q211" s="110"/>
      <c r="R211" s="109"/>
      <c r="S211" s="109"/>
      <c r="T211" s="106"/>
      <c r="U211" s="106"/>
      <c r="V211" s="106"/>
      <c r="W211" s="73" t="s">
        <v>2631</v>
      </c>
      <c r="X211" s="73">
        <v>1</v>
      </c>
      <c r="Y211" s="73">
        <v>1</v>
      </c>
      <c r="Z211" s="73"/>
      <c r="AA211" s="111" t="s">
        <v>239</v>
      </c>
      <c r="AB211" s="118"/>
      <c r="AC211" s="106"/>
      <c r="AD211" s="106"/>
      <c r="AE211" s="2"/>
      <c r="AF211" s="2"/>
    </row>
    <row r="212" spans="1:32" outlineLevel="1">
      <c r="A212" s="106">
        <v>211</v>
      </c>
      <c r="B212" s="73"/>
      <c r="C212" s="73"/>
      <c r="D212" s="216"/>
      <c r="E212" s="75"/>
      <c r="F212" s="218"/>
      <c r="G212" s="75"/>
      <c r="H212" s="75"/>
      <c r="I212" s="75"/>
      <c r="J212" s="76" t="s">
        <v>1999</v>
      </c>
      <c r="K212" s="73"/>
      <c r="L212" s="113"/>
      <c r="M212" s="114"/>
      <c r="N212" s="182"/>
      <c r="O212" s="115"/>
      <c r="P212" s="115"/>
      <c r="Q212" s="116"/>
      <c r="R212" s="115"/>
      <c r="S212" s="115"/>
      <c r="T212" s="106"/>
      <c r="U212" s="106"/>
      <c r="V212" s="106"/>
      <c r="W212" s="73"/>
      <c r="X212" s="73"/>
      <c r="Y212" s="73"/>
      <c r="Z212" s="73"/>
      <c r="AA212" s="111" t="s">
        <v>222</v>
      </c>
      <c r="AB212" s="118"/>
      <c r="AC212" s="106"/>
      <c r="AD212" s="106"/>
      <c r="AE212" s="2"/>
      <c r="AF212" s="2"/>
    </row>
    <row r="213" spans="1:32" outlineLevel="1">
      <c r="A213" s="106">
        <v>212</v>
      </c>
      <c r="B213" s="73"/>
      <c r="C213" s="73"/>
      <c r="D213" s="216"/>
      <c r="E213" s="75"/>
      <c r="F213" s="218"/>
      <c r="G213" s="75"/>
      <c r="H213" s="75" t="s">
        <v>2040</v>
      </c>
      <c r="I213" s="75"/>
      <c r="J213" s="76"/>
      <c r="K213" s="73"/>
      <c r="L213" s="113"/>
      <c r="M213" s="114"/>
      <c r="N213" s="182"/>
      <c r="O213" s="115"/>
      <c r="P213" s="115"/>
      <c r="Q213" s="116"/>
      <c r="R213" s="115"/>
      <c r="S213" s="115"/>
      <c r="T213" s="106"/>
      <c r="U213" s="106"/>
      <c r="V213" s="106"/>
      <c r="W213" s="73"/>
      <c r="X213" s="73"/>
      <c r="Y213" s="73"/>
      <c r="Z213" s="73"/>
      <c r="AA213" s="111" t="s">
        <v>263</v>
      </c>
      <c r="AB213" s="118"/>
      <c r="AC213" s="106"/>
      <c r="AD213" s="106"/>
      <c r="AE213" s="2"/>
      <c r="AF213" s="2"/>
    </row>
    <row r="214" spans="1:32" outlineLevel="1">
      <c r="A214" s="106">
        <v>213</v>
      </c>
      <c r="B214" s="73"/>
      <c r="C214" s="87" t="s">
        <v>1883</v>
      </c>
      <c r="D214" s="216"/>
      <c r="E214" s="226" t="s">
        <v>2092</v>
      </c>
      <c r="F214" s="218"/>
      <c r="G214" s="75" t="s">
        <v>2093</v>
      </c>
      <c r="H214" s="75"/>
      <c r="I214" s="75"/>
      <c r="J214" s="76" t="s">
        <v>2094</v>
      </c>
      <c r="K214" s="73"/>
      <c r="L214" s="113"/>
      <c r="M214" s="114"/>
      <c r="N214" s="182"/>
      <c r="O214" s="115"/>
      <c r="P214" s="115"/>
      <c r="Q214" s="116"/>
      <c r="R214" s="115"/>
      <c r="S214" s="115"/>
      <c r="T214" s="106"/>
      <c r="U214" s="106"/>
      <c r="V214" s="106"/>
      <c r="W214" s="73"/>
      <c r="X214" s="73"/>
      <c r="Y214" s="73"/>
      <c r="Z214" s="73"/>
      <c r="AA214" s="111" t="s">
        <v>300</v>
      </c>
      <c r="AB214" s="118"/>
      <c r="AC214" s="106" t="s">
        <v>234</v>
      </c>
      <c r="AD214" s="106" t="s">
        <v>301</v>
      </c>
      <c r="AE214" s="2"/>
      <c r="AF214" s="2"/>
    </row>
    <row r="215" spans="1:32" outlineLevel="1">
      <c r="A215" s="106">
        <v>214</v>
      </c>
      <c r="B215" s="73" t="s">
        <v>2095</v>
      </c>
      <c r="C215" s="73" t="s">
        <v>1897</v>
      </c>
      <c r="D215" s="216"/>
      <c r="E215" s="226" t="s">
        <v>2096</v>
      </c>
      <c r="F215" s="218"/>
      <c r="G215" s="75"/>
      <c r="H215" s="75" t="s">
        <v>2056</v>
      </c>
      <c r="I215" s="75"/>
      <c r="J215" s="76"/>
      <c r="K215" s="77" t="s">
        <v>1592</v>
      </c>
      <c r="L215" s="107" t="s">
        <v>25</v>
      </c>
      <c r="M215" s="108"/>
      <c r="N215" s="181" t="s">
        <v>39</v>
      </c>
      <c r="O215" s="109" t="s">
        <v>24</v>
      </c>
      <c r="P215" s="109"/>
      <c r="Q215" s="110"/>
      <c r="R215" s="109"/>
      <c r="S215" s="109"/>
      <c r="T215" s="106"/>
      <c r="U215" s="106"/>
      <c r="V215" s="106"/>
      <c r="W215" s="73" t="s">
        <v>2631</v>
      </c>
      <c r="X215" s="73">
        <v>1</v>
      </c>
      <c r="Y215" s="73">
        <v>1</v>
      </c>
      <c r="Z215" s="73"/>
      <c r="AA215" s="111" t="s">
        <v>303</v>
      </c>
      <c r="AB215" s="118"/>
      <c r="AC215" s="106"/>
      <c r="AD215" s="106"/>
      <c r="AE215" s="2"/>
      <c r="AF215" s="2"/>
    </row>
    <row r="216" spans="1:32" outlineLevel="1">
      <c r="A216" s="106">
        <v>215</v>
      </c>
      <c r="B216" s="73" t="s">
        <v>304</v>
      </c>
      <c r="C216" s="73" t="s">
        <v>1897</v>
      </c>
      <c r="D216" s="216"/>
      <c r="E216" s="226" t="s">
        <v>2097</v>
      </c>
      <c r="F216" s="218"/>
      <c r="G216" s="75"/>
      <c r="H216" s="75" t="s">
        <v>2059</v>
      </c>
      <c r="I216" s="75"/>
      <c r="J216" s="76"/>
      <c r="K216" s="77" t="s">
        <v>1592</v>
      </c>
      <c r="L216" s="107" t="s">
        <v>25</v>
      </c>
      <c r="M216" s="108"/>
      <c r="N216" s="181" t="s">
        <v>39</v>
      </c>
      <c r="O216" s="109" t="s">
        <v>24</v>
      </c>
      <c r="P216" s="109"/>
      <c r="Q216" s="110"/>
      <c r="R216" s="109"/>
      <c r="S216" s="109"/>
      <c r="T216" s="106"/>
      <c r="U216" s="106"/>
      <c r="V216" s="106"/>
      <c r="W216" s="73" t="s">
        <v>2629</v>
      </c>
      <c r="X216" s="73">
        <v>1</v>
      </c>
      <c r="Y216" s="73">
        <v>1</v>
      </c>
      <c r="Z216" s="73"/>
      <c r="AA216" s="111" t="s">
        <v>305</v>
      </c>
      <c r="AB216" s="118"/>
      <c r="AC216" s="106"/>
      <c r="AD216" s="106"/>
      <c r="AE216" s="2"/>
      <c r="AF216" s="2"/>
    </row>
    <row r="217" spans="1:32" outlineLevel="1">
      <c r="A217" s="106">
        <v>216</v>
      </c>
      <c r="B217" s="73" t="s">
        <v>2098</v>
      </c>
      <c r="C217" s="73" t="s">
        <v>1897</v>
      </c>
      <c r="D217" s="216"/>
      <c r="E217" s="226" t="s">
        <v>2099</v>
      </c>
      <c r="F217" s="218"/>
      <c r="G217" s="75"/>
      <c r="H217" s="75" t="s">
        <v>2100</v>
      </c>
      <c r="I217" s="75"/>
      <c r="J217" s="76"/>
      <c r="K217" s="77" t="s">
        <v>1592</v>
      </c>
      <c r="L217" s="107" t="s">
        <v>25</v>
      </c>
      <c r="M217" s="108"/>
      <c r="N217" s="181" t="s">
        <v>39</v>
      </c>
      <c r="O217" s="109" t="s">
        <v>24</v>
      </c>
      <c r="P217" s="109"/>
      <c r="Q217" s="110"/>
      <c r="R217" s="109"/>
      <c r="S217" s="109"/>
      <c r="T217" s="106"/>
      <c r="U217" s="106"/>
      <c r="V217" s="106"/>
      <c r="W217" s="73" t="s">
        <v>2629</v>
      </c>
      <c r="X217" s="73">
        <v>1</v>
      </c>
      <c r="Y217" s="73">
        <v>1</v>
      </c>
      <c r="Z217" s="73"/>
      <c r="AA217" s="112"/>
      <c r="AB217" s="118"/>
      <c r="AC217" s="106"/>
      <c r="AD217" s="106"/>
      <c r="AE217" s="2"/>
      <c r="AF217" s="2"/>
    </row>
    <row r="218" spans="1:32" outlineLevel="1">
      <c r="A218" s="106">
        <v>217</v>
      </c>
      <c r="B218" s="73" t="s">
        <v>306</v>
      </c>
      <c r="C218" s="73" t="s">
        <v>1897</v>
      </c>
      <c r="D218" s="216"/>
      <c r="E218" s="226" t="s">
        <v>2101</v>
      </c>
      <c r="F218" s="218"/>
      <c r="G218" s="75"/>
      <c r="H218" s="75" t="s">
        <v>2102</v>
      </c>
      <c r="I218" s="75"/>
      <c r="J218" s="76"/>
      <c r="K218" s="77" t="s">
        <v>1592</v>
      </c>
      <c r="L218" s="107" t="s">
        <v>25</v>
      </c>
      <c r="M218" s="108"/>
      <c r="N218" s="181" t="s">
        <v>39</v>
      </c>
      <c r="O218" s="109" t="s">
        <v>24</v>
      </c>
      <c r="P218" s="109"/>
      <c r="Q218" s="110"/>
      <c r="R218" s="109"/>
      <c r="S218" s="109"/>
      <c r="T218" s="106"/>
      <c r="U218" s="106"/>
      <c r="V218" s="106"/>
      <c r="W218" s="73" t="s">
        <v>2631</v>
      </c>
      <c r="X218" s="73">
        <v>1</v>
      </c>
      <c r="Y218" s="73">
        <v>1</v>
      </c>
      <c r="Z218" s="73"/>
      <c r="AA218" s="112"/>
      <c r="AB218" s="118"/>
      <c r="AC218" s="106"/>
      <c r="AD218" s="106"/>
      <c r="AE218" s="2"/>
      <c r="AF218" s="2"/>
    </row>
    <row r="219" spans="1:32" outlineLevel="1">
      <c r="A219" s="106">
        <v>218</v>
      </c>
      <c r="B219" s="73" t="s">
        <v>307</v>
      </c>
      <c r="C219" s="73" t="s">
        <v>1897</v>
      </c>
      <c r="D219" s="216"/>
      <c r="E219" s="226" t="s">
        <v>2103</v>
      </c>
      <c r="F219" s="218"/>
      <c r="G219" s="75"/>
      <c r="H219" s="75" t="s">
        <v>2104</v>
      </c>
      <c r="I219" s="75"/>
      <c r="J219" s="76"/>
      <c r="K219" s="77" t="s">
        <v>1592</v>
      </c>
      <c r="L219" s="107" t="s">
        <v>25</v>
      </c>
      <c r="M219" s="108"/>
      <c r="N219" s="181" t="s">
        <v>39</v>
      </c>
      <c r="O219" s="109" t="s">
        <v>24</v>
      </c>
      <c r="P219" s="109"/>
      <c r="Q219" s="110"/>
      <c r="R219" s="109"/>
      <c r="S219" s="109"/>
      <c r="T219" s="106"/>
      <c r="U219" s="106"/>
      <c r="V219" s="106"/>
      <c r="W219" s="73" t="s">
        <v>2629</v>
      </c>
      <c r="X219" s="73">
        <v>1</v>
      </c>
      <c r="Y219" s="73">
        <v>1</v>
      </c>
      <c r="Z219" s="73"/>
      <c r="AA219" s="111" t="s">
        <v>308</v>
      </c>
      <c r="AB219" s="118"/>
      <c r="AC219" s="106"/>
      <c r="AD219" s="106"/>
      <c r="AE219" s="2"/>
      <c r="AF219" s="2"/>
    </row>
    <row r="220" spans="1:32" outlineLevel="1">
      <c r="A220" s="106">
        <v>219</v>
      </c>
      <c r="B220" s="73" t="s">
        <v>309</v>
      </c>
      <c r="C220" s="73" t="s">
        <v>1897</v>
      </c>
      <c r="D220" s="216"/>
      <c r="E220" s="226" t="s">
        <v>2105</v>
      </c>
      <c r="F220" s="218"/>
      <c r="G220" s="75"/>
      <c r="H220" s="75" t="s">
        <v>2106</v>
      </c>
      <c r="I220" s="75"/>
      <c r="J220" s="76"/>
      <c r="K220" s="77" t="s">
        <v>1592</v>
      </c>
      <c r="L220" s="107" t="s">
        <v>25</v>
      </c>
      <c r="M220" s="108"/>
      <c r="N220" s="181" t="s">
        <v>39</v>
      </c>
      <c r="O220" s="109" t="s">
        <v>24</v>
      </c>
      <c r="P220" s="109"/>
      <c r="Q220" s="110"/>
      <c r="R220" s="109"/>
      <c r="S220" s="109"/>
      <c r="T220" s="106"/>
      <c r="U220" s="106"/>
      <c r="V220" s="106"/>
      <c r="W220" s="73" t="s">
        <v>2629</v>
      </c>
      <c r="X220" s="73">
        <v>1</v>
      </c>
      <c r="Y220" s="73">
        <v>1</v>
      </c>
      <c r="Z220" s="73"/>
      <c r="AA220" s="112"/>
      <c r="AB220" s="118"/>
      <c r="AC220" s="106"/>
      <c r="AD220" s="106"/>
      <c r="AE220" s="2"/>
      <c r="AF220" s="2"/>
    </row>
    <row r="221" spans="1:32" outlineLevel="1">
      <c r="A221" s="106">
        <v>220</v>
      </c>
      <c r="B221" s="73" t="s">
        <v>310</v>
      </c>
      <c r="C221" s="73" t="s">
        <v>1897</v>
      </c>
      <c r="D221" s="216"/>
      <c r="E221" s="226" t="s">
        <v>2107</v>
      </c>
      <c r="F221" s="218"/>
      <c r="G221" s="75"/>
      <c r="H221" s="75" t="s">
        <v>2108</v>
      </c>
      <c r="I221" s="75"/>
      <c r="J221" s="76"/>
      <c r="K221" s="77" t="s">
        <v>1592</v>
      </c>
      <c r="L221" s="107" t="s">
        <v>25</v>
      </c>
      <c r="M221" s="108"/>
      <c r="N221" s="181" t="s">
        <v>39</v>
      </c>
      <c r="O221" s="109" t="s">
        <v>24</v>
      </c>
      <c r="P221" s="109"/>
      <c r="Q221" s="110"/>
      <c r="R221" s="109"/>
      <c r="S221" s="109"/>
      <c r="T221" s="106"/>
      <c r="U221" s="106"/>
      <c r="V221" s="106"/>
      <c r="W221" s="73" t="s">
        <v>2629</v>
      </c>
      <c r="X221" s="73">
        <v>1</v>
      </c>
      <c r="Y221" s="73">
        <v>1</v>
      </c>
      <c r="Z221" s="73"/>
      <c r="AA221" s="112"/>
      <c r="AB221" s="118"/>
      <c r="AC221" s="106"/>
      <c r="AD221" s="106"/>
      <c r="AE221" s="2"/>
      <c r="AF221" s="2"/>
    </row>
    <row r="222" spans="1:32" outlineLevel="1">
      <c r="A222" s="106">
        <v>221</v>
      </c>
      <c r="B222" s="73"/>
      <c r="C222" s="73"/>
      <c r="D222" s="216"/>
      <c r="E222" s="229"/>
      <c r="F222" s="218"/>
      <c r="G222" s="75"/>
      <c r="H222" s="75"/>
      <c r="I222" s="75"/>
      <c r="J222" s="76" t="s">
        <v>2038</v>
      </c>
      <c r="K222" s="73"/>
      <c r="L222" s="113"/>
      <c r="M222" s="114"/>
      <c r="N222" s="182"/>
      <c r="O222" s="115"/>
      <c r="P222" s="115"/>
      <c r="Q222" s="116"/>
      <c r="R222" s="115"/>
      <c r="S222" s="115"/>
      <c r="T222" s="106"/>
      <c r="U222" s="106"/>
      <c r="V222" s="106"/>
      <c r="W222" s="73"/>
      <c r="X222" s="73"/>
      <c r="Y222" s="73"/>
      <c r="Z222" s="73"/>
      <c r="AA222" s="111" t="s">
        <v>256</v>
      </c>
      <c r="AB222" s="118"/>
      <c r="AC222" s="106" t="s">
        <v>234</v>
      </c>
      <c r="AD222" s="106" t="s">
        <v>282</v>
      </c>
      <c r="AE222" s="2"/>
      <c r="AF222" s="2"/>
    </row>
    <row r="223" spans="1:32" outlineLevel="1">
      <c r="A223" s="106">
        <v>222</v>
      </c>
      <c r="B223" s="73"/>
      <c r="C223" s="73"/>
      <c r="D223" s="216"/>
      <c r="E223" s="75"/>
      <c r="F223" s="218"/>
      <c r="G223" s="75"/>
      <c r="H223" s="75"/>
      <c r="I223" s="75"/>
      <c r="J223" s="76" t="s">
        <v>2039</v>
      </c>
      <c r="K223" s="73"/>
      <c r="L223" s="113"/>
      <c r="M223" s="114"/>
      <c r="N223" s="182"/>
      <c r="O223" s="115"/>
      <c r="P223" s="115"/>
      <c r="Q223" s="116"/>
      <c r="R223" s="115"/>
      <c r="S223" s="115"/>
      <c r="T223" s="106"/>
      <c r="U223" s="106"/>
      <c r="V223" s="106"/>
      <c r="W223" s="73"/>
      <c r="X223" s="73"/>
      <c r="Y223" s="73"/>
      <c r="Z223" s="73"/>
      <c r="AA223" s="111" t="s">
        <v>258</v>
      </c>
      <c r="AB223" s="118"/>
      <c r="AC223" s="106" t="s">
        <v>283</v>
      </c>
      <c r="AD223" s="106" t="s">
        <v>284</v>
      </c>
      <c r="AE223" s="2"/>
      <c r="AF223" s="2"/>
    </row>
    <row r="224" spans="1:32" outlineLevel="1">
      <c r="A224" s="106">
        <v>223</v>
      </c>
      <c r="B224" s="73"/>
      <c r="C224" s="73"/>
      <c r="D224" s="216"/>
      <c r="E224" s="75"/>
      <c r="F224" s="218"/>
      <c r="G224" s="75"/>
      <c r="H224" s="75"/>
      <c r="I224" s="75"/>
      <c r="J224" s="76" t="s">
        <v>2109</v>
      </c>
      <c r="K224" s="73"/>
      <c r="L224" s="113"/>
      <c r="M224" s="114"/>
      <c r="N224" s="182"/>
      <c r="O224" s="115"/>
      <c r="P224" s="115"/>
      <c r="Q224" s="116"/>
      <c r="R224" s="115"/>
      <c r="S224" s="115"/>
      <c r="T224" s="106"/>
      <c r="U224" s="106"/>
      <c r="V224" s="106"/>
      <c r="W224" s="73"/>
      <c r="X224" s="73"/>
      <c r="Y224" s="73"/>
      <c r="Z224" s="73"/>
      <c r="AA224" s="111" t="s">
        <v>311</v>
      </c>
      <c r="AB224" s="118"/>
      <c r="AC224" s="106" t="s">
        <v>234</v>
      </c>
      <c r="AD224" s="106" t="s">
        <v>312</v>
      </c>
      <c r="AE224" s="2"/>
      <c r="AF224" s="2"/>
    </row>
    <row r="225" spans="1:32" outlineLevel="1">
      <c r="A225" s="106">
        <v>224</v>
      </c>
      <c r="B225" s="73"/>
      <c r="C225" s="73"/>
      <c r="D225" s="216"/>
      <c r="E225" s="75"/>
      <c r="F225" s="218"/>
      <c r="G225" s="75"/>
      <c r="H225" s="75"/>
      <c r="I225" s="75"/>
      <c r="J225" s="76" t="s">
        <v>2018</v>
      </c>
      <c r="K225" s="73"/>
      <c r="L225" s="113"/>
      <c r="M225" s="114"/>
      <c r="N225" s="182"/>
      <c r="O225" s="115"/>
      <c r="P225" s="115"/>
      <c r="Q225" s="116"/>
      <c r="R225" s="115"/>
      <c r="S225" s="115"/>
      <c r="T225" s="106"/>
      <c r="U225" s="106"/>
      <c r="V225" s="106"/>
      <c r="W225" s="73"/>
      <c r="X225" s="73"/>
      <c r="Y225" s="73"/>
      <c r="Z225" s="73"/>
      <c r="AA225" s="111" t="s">
        <v>239</v>
      </c>
      <c r="AB225" s="118"/>
      <c r="AC225" s="106"/>
      <c r="AD225" s="106"/>
      <c r="AE225" s="2"/>
      <c r="AF225" s="2"/>
    </row>
    <row r="226" spans="1:32" outlineLevel="1">
      <c r="A226" s="106">
        <v>225</v>
      </c>
      <c r="B226" s="73"/>
      <c r="C226" s="73"/>
      <c r="D226" s="216"/>
      <c r="E226" s="75"/>
      <c r="F226" s="218"/>
      <c r="G226" s="75"/>
      <c r="H226" s="75"/>
      <c r="I226" s="75"/>
      <c r="J226" s="76" t="s">
        <v>1999</v>
      </c>
      <c r="K226" s="73"/>
      <c r="L226" s="113"/>
      <c r="M226" s="114"/>
      <c r="N226" s="182"/>
      <c r="O226" s="115"/>
      <c r="P226" s="115"/>
      <c r="Q226" s="116"/>
      <c r="R226" s="115"/>
      <c r="S226" s="115"/>
      <c r="T226" s="106"/>
      <c r="U226" s="106"/>
      <c r="V226" s="106"/>
      <c r="W226" s="73"/>
      <c r="X226" s="73"/>
      <c r="Y226" s="73"/>
      <c r="Z226" s="73"/>
      <c r="AA226" s="111" t="s">
        <v>222</v>
      </c>
      <c r="AB226" s="118"/>
      <c r="AC226" s="106"/>
      <c r="AD226" s="106"/>
      <c r="AE226" s="2"/>
      <c r="AF226" s="2"/>
    </row>
    <row r="227" spans="1:32" outlineLevel="1">
      <c r="A227" s="106">
        <v>226</v>
      </c>
      <c r="B227" s="73" t="s">
        <v>2110</v>
      </c>
      <c r="C227" s="87" t="s">
        <v>1883</v>
      </c>
      <c r="D227" s="216"/>
      <c r="E227" s="227" t="s">
        <v>2111</v>
      </c>
      <c r="F227" s="218"/>
      <c r="G227" s="75"/>
      <c r="H227" s="75" t="s">
        <v>2040</v>
      </c>
      <c r="I227" s="75"/>
      <c r="J227" s="76"/>
      <c r="K227" s="77" t="s">
        <v>1592</v>
      </c>
      <c r="L227" s="107"/>
      <c r="M227" s="108"/>
      <c r="N227" s="181"/>
      <c r="O227" s="119" t="s">
        <v>34</v>
      </c>
      <c r="P227" s="120">
        <v>46181</v>
      </c>
      <c r="Q227" s="173" t="s">
        <v>1566</v>
      </c>
      <c r="R227" s="109"/>
      <c r="S227" s="109"/>
      <c r="T227" s="106"/>
      <c r="U227" s="106"/>
      <c r="V227" s="106"/>
      <c r="W227" s="73" t="s">
        <v>2631</v>
      </c>
      <c r="X227" s="73">
        <v>1</v>
      </c>
      <c r="Y227" s="73">
        <v>1</v>
      </c>
      <c r="Z227" s="73"/>
      <c r="AA227" s="111" t="s">
        <v>263</v>
      </c>
      <c r="AB227" s="118"/>
      <c r="AC227" s="106"/>
      <c r="AD227" s="106"/>
      <c r="AE227" s="2"/>
      <c r="AF227" s="2"/>
    </row>
    <row r="228" spans="1:32" outlineLevel="1">
      <c r="A228" s="106">
        <v>227</v>
      </c>
      <c r="B228" s="73" t="s">
        <v>2112</v>
      </c>
      <c r="C228" s="87" t="s">
        <v>1883</v>
      </c>
      <c r="D228" s="216" t="s">
        <v>2113</v>
      </c>
      <c r="E228" s="215" t="s">
        <v>2114</v>
      </c>
      <c r="F228" s="218" t="s">
        <v>2115</v>
      </c>
      <c r="G228" s="75"/>
      <c r="H228" s="75"/>
      <c r="I228" s="75"/>
      <c r="J228" s="76"/>
      <c r="K228" s="77" t="s">
        <v>1592</v>
      </c>
      <c r="L228" s="107"/>
      <c r="M228" s="108"/>
      <c r="N228" s="181"/>
      <c r="O228" s="119" t="s">
        <v>34</v>
      </c>
      <c r="P228" s="120">
        <v>46181</v>
      </c>
      <c r="Q228" s="173" t="s">
        <v>1566</v>
      </c>
      <c r="R228" s="109"/>
      <c r="S228" s="109"/>
      <c r="T228" s="106"/>
      <c r="U228" s="106"/>
      <c r="V228" s="106"/>
      <c r="W228" s="73" t="s">
        <v>2629</v>
      </c>
      <c r="X228" s="73">
        <v>1</v>
      </c>
      <c r="Y228" s="73">
        <v>1</v>
      </c>
      <c r="Z228" s="73"/>
      <c r="AA228" s="111" t="s">
        <v>314</v>
      </c>
      <c r="AB228" s="118"/>
      <c r="AC228" s="106"/>
      <c r="AD228" s="106"/>
      <c r="AE228" s="2"/>
      <c r="AF228" s="2"/>
    </row>
    <row r="229" spans="1:32" outlineLevel="1">
      <c r="A229" s="106">
        <v>228</v>
      </c>
      <c r="B229" s="73" t="s">
        <v>2116</v>
      </c>
      <c r="C229" s="73" t="s">
        <v>1897</v>
      </c>
      <c r="D229" s="216"/>
      <c r="E229" s="215" t="s">
        <v>2117</v>
      </c>
      <c r="F229" s="218"/>
      <c r="G229" s="75" t="s">
        <v>2025</v>
      </c>
      <c r="H229" s="75" t="s">
        <v>1734</v>
      </c>
      <c r="I229" s="75"/>
      <c r="J229" s="76"/>
      <c r="K229" s="77" t="s">
        <v>1592</v>
      </c>
      <c r="L229" s="107"/>
      <c r="M229" s="108"/>
      <c r="N229" s="181"/>
      <c r="O229" s="119" t="s">
        <v>34</v>
      </c>
      <c r="P229" s="120">
        <v>46181</v>
      </c>
      <c r="Q229" s="173" t="s">
        <v>1566</v>
      </c>
      <c r="R229" s="109"/>
      <c r="S229" s="109"/>
      <c r="T229" s="106"/>
      <c r="U229" s="106"/>
      <c r="V229" s="106"/>
      <c r="W229" s="73" t="s">
        <v>2629</v>
      </c>
      <c r="X229" s="73">
        <v>1</v>
      </c>
      <c r="Y229" s="73">
        <v>1</v>
      </c>
      <c r="Z229" s="73"/>
      <c r="AA229" s="111" t="s">
        <v>315</v>
      </c>
      <c r="AB229" s="118"/>
      <c r="AC229" s="106" t="s">
        <v>177</v>
      </c>
      <c r="AD229" s="106" t="s">
        <v>316</v>
      </c>
      <c r="AE229" s="2"/>
      <c r="AF229" s="2"/>
    </row>
    <row r="230" spans="1:32" outlineLevel="1">
      <c r="A230" s="106">
        <v>229</v>
      </c>
      <c r="B230" s="73" t="s">
        <v>317</v>
      </c>
      <c r="C230" s="73" t="s">
        <v>1897</v>
      </c>
      <c r="D230" s="216"/>
      <c r="E230" s="226" t="s">
        <v>2118</v>
      </c>
      <c r="F230" s="218"/>
      <c r="G230" s="75"/>
      <c r="H230" s="75" t="s">
        <v>2119</v>
      </c>
      <c r="I230" s="75"/>
      <c r="J230" s="76"/>
      <c r="K230" s="77" t="s">
        <v>1592</v>
      </c>
      <c r="L230" s="107"/>
      <c r="M230" s="108"/>
      <c r="N230" s="181"/>
      <c r="O230" s="119" t="s">
        <v>34</v>
      </c>
      <c r="P230" s="120">
        <v>46181</v>
      </c>
      <c r="Q230" s="173" t="s">
        <v>1566</v>
      </c>
      <c r="R230" s="109"/>
      <c r="S230" s="109"/>
      <c r="T230" s="106"/>
      <c r="U230" s="106"/>
      <c r="V230" s="106"/>
      <c r="W230" s="73" t="s">
        <v>2629</v>
      </c>
      <c r="X230" s="73">
        <v>1</v>
      </c>
      <c r="Y230" s="73">
        <v>1</v>
      </c>
      <c r="Z230" s="73"/>
      <c r="AA230" s="111" t="s">
        <v>318</v>
      </c>
      <c r="AB230" s="129"/>
      <c r="AC230" s="106"/>
      <c r="AD230" s="106"/>
      <c r="AE230" s="2"/>
      <c r="AF230" s="2"/>
    </row>
    <row r="231" spans="1:32" outlineLevel="1">
      <c r="A231" s="106">
        <v>230</v>
      </c>
      <c r="B231" s="73" t="s">
        <v>2120</v>
      </c>
      <c r="C231" s="73" t="s">
        <v>1897</v>
      </c>
      <c r="D231" s="216"/>
      <c r="E231" s="226" t="s">
        <v>2121</v>
      </c>
      <c r="F231" s="218"/>
      <c r="G231" s="75"/>
      <c r="H231" s="75" t="s">
        <v>2122</v>
      </c>
      <c r="I231" s="75"/>
      <c r="J231" s="76"/>
      <c r="K231" s="77" t="s">
        <v>1592</v>
      </c>
      <c r="L231" s="107"/>
      <c r="M231" s="108"/>
      <c r="N231" s="181"/>
      <c r="O231" s="119" t="s">
        <v>34</v>
      </c>
      <c r="P231" s="120">
        <v>46181</v>
      </c>
      <c r="Q231" s="173" t="s">
        <v>1566</v>
      </c>
      <c r="R231" s="109"/>
      <c r="S231" s="109"/>
      <c r="T231" s="106"/>
      <c r="U231" s="106"/>
      <c r="V231" s="106"/>
      <c r="W231" s="73" t="s">
        <v>2633</v>
      </c>
      <c r="X231" s="73">
        <v>1</v>
      </c>
      <c r="Y231" s="73">
        <v>1</v>
      </c>
      <c r="Z231" s="73"/>
      <c r="AA231" s="111" t="s">
        <v>321</v>
      </c>
      <c r="AB231" s="129"/>
      <c r="AC231" s="106"/>
      <c r="AD231" s="106"/>
      <c r="AE231" s="2"/>
      <c r="AF231" s="2"/>
    </row>
    <row r="232" spans="1:32" outlineLevel="1">
      <c r="A232" s="106">
        <v>231</v>
      </c>
      <c r="B232" s="73" t="s">
        <v>322</v>
      </c>
      <c r="C232" s="73" t="s">
        <v>1897</v>
      </c>
      <c r="D232" s="216"/>
      <c r="E232" s="226" t="s">
        <v>2123</v>
      </c>
      <c r="F232" s="218"/>
      <c r="G232" s="75"/>
      <c r="H232" s="75" t="s">
        <v>2124</v>
      </c>
      <c r="I232" s="75"/>
      <c r="J232" s="76"/>
      <c r="K232" s="77" t="s">
        <v>1592</v>
      </c>
      <c r="L232" s="107"/>
      <c r="M232" s="108"/>
      <c r="N232" s="181"/>
      <c r="O232" s="119" t="s">
        <v>34</v>
      </c>
      <c r="P232" s="120">
        <v>46181</v>
      </c>
      <c r="Q232" s="173" t="s">
        <v>1566</v>
      </c>
      <c r="R232" s="109"/>
      <c r="S232" s="109"/>
      <c r="T232" s="106"/>
      <c r="U232" s="106"/>
      <c r="V232" s="106"/>
      <c r="W232" s="73" t="s">
        <v>2631</v>
      </c>
      <c r="X232" s="73">
        <v>1</v>
      </c>
      <c r="Y232" s="73">
        <v>1</v>
      </c>
      <c r="Z232" s="73"/>
      <c r="AA232" s="111" t="s">
        <v>323</v>
      </c>
      <c r="AB232" s="129"/>
      <c r="AC232" s="106"/>
      <c r="AD232" s="106"/>
      <c r="AE232" s="2"/>
      <c r="AF232" s="2"/>
    </row>
    <row r="233" spans="1:32" ht="24" outlineLevel="1">
      <c r="A233" s="106">
        <v>232</v>
      </c>
      <c r="B233" s="73" t="s">
        <v>2125</v>
      </c>
      <c r="C233" s="73" t="s">
        <v>1897</v>
      </c>
      <c r="D233" s="216" t="s">
        <v>2126</v>
      </c>
      <c r="E233" s="226" t="s">
        <v>2127</v>
      </c>
      <c r="F233" s="218"/>
      <c r="G233" s="75"/>
      <c r="H233" s="75"/>
      <c r="I233" s="75" t="s">
        <v>2128</v>
      </c>
      <c r="J233" s="76"/>
      <c r="K233" s="77" t="s">
        <v>1592</v>
      </c>
      <c r="L233" s="107"/>
      <c r="M233" s="108"/>
      <c r="N233" s="181"/>
      <c r="O233" s="119" t="s">
        <v>34</v>
      </c>
      <c r="P233" s="120">
        <v>46181</v>
      </c>
      <c r="Q233" s="173" t="s">
        <v>1566</v>
      </c>
      <c r="R233" s="109"/>
      <c r="S233" s="109"/>
      <c r="T233" s="106"/>
      <c r="U233" s="106"/>
      <c r="V233" s="106"/>
      <c r="W233" s="73" t="s">
        <v>2631</v>
      </c>
      <c r="X233" s="73">
        <v>1</v>
      </c>
      <c r="Y233" s="73">
        <v>1</v>
      </c>
      <c r="Z233" s="73"/>
      <c r="AA233" s="111" t="s">
        <v>325</v>
      </c>
      <c r="AB233" s="118"/>
      <c r="AC233" s="106" t="s">
        <v>177</v>
      </c>
      <c r="AD233" s="106" t="s">
        <v>326</v>
      </c>
      <c r="AE233" s="2"/>
      <c r="AF233" s="2"/>
    </row>
    <row r="234" spans="1:32" ht="24" outlineLevel="1">
      <c r="A234" s="106">
        <v>233</v>
      </c>
      <c r="B234" s="73" t="s">
        <v>327</v>
      </c>
      <c r="C234" s="73" t="s">
        <v>1897</v>
      </c>
      <c r="D234" s="216"/>
      <c r="E234" s="226" t="s">
        <v>2129</v>
      </c>
      <c r="F234" s="218"/>
      <c r="G234" s="75"/>
      <c r="H234" s="75"/>
      <c r="I234" s="75" t="s">
        <v>2130</v>
      </c>
      <c r="J234" s="76"/>
      <c r="K234" s="77" t="s">
        <v>1592</v>
      </c>
      <c r="L234" s="107"/>
      <c r="M234" s="108"/>
      <c r="N234" s="181"/>
      <c r="O234" s="119" t="s">
        <v>34</v>
      </c>
      <c r="P234" s="120">
        <v>46181</v>
      </c>
      <c r="Q234" s="173" t="s">
        <v>1566</v>
      </c>
      <c r="R234" s="109"/>
      <c r="S234" s="109"/>
      <c r="T234" s="106"/>
      <c r="U234" s="106"/>
      <c r="V234" s="106"/>
      <c r="W234" s="73" t="s">
        <v>2628</v>
      </c>
      <c r="X234" s="73">
        <v>1</v>
      </c>
      <c r="Y234" s="73">
        <v>1</v>
      </c>
      <c r="Z234" s="73"/>
      <c r="AA234" s="112"/>
      <c r="AB234" s="118"/>
      <c r="AC234" s="106"/>
      <c r="AD234" s="106"/>
      <c r="AE234" s="2"/>
      <c r="AF234" s="2"/>
    </row>
    <row r="235" spans="1:32" ht="24" outlineLevel="1">
      <c r="A235" s="106">
        <v>234</v>
      </c>
      <c r="B235" s="73" t="s">
        <v>328</v>
      </c>
      <c r="C235" s="73" t="s">
        <v>1897</v>
      </c>
      <c r="D235" s="216"/>
      <c r="E235" s="226" t="s">
        <v>2131</v>
      </c>
      <c r="F235" s="218"/>
      <c r="G235" s="75"/>
      <c r="H235" s="75"/>
      <c r="I235" s="75" t="s">
        <v>2132</v>
      </c>
      <c r="J235" s="76"/>
      <c r="K235" s="77" t="s">
        <v>1592</v>
      </c>
      <c r="L235" s="107"/>
      <c r="M235" s="108"/>
      <c r="N235" s="181"/>
      <c r="O235" s="119" t="s">
        <v>34</v>
      </c>
      <c r="P235" s="120">
        <v>46181</v>
      </c>
      <c r="Q235" s="173" t="s">
        <v>1566</v>
      </c>
      <c r="R235" s="109"/>
      <c r="S235" s="109"/>
      <c r="T235" s="106"/>
      <c r="U235" s="106"/>
      <c r="V235" s="106"/>
      <c r="W235" s="73" t="s">
        <v>2633</v>
      </c>
      <c r="X235" s="73">
        <v>1</v>
      </c>
      <c r="Y235" s="73">
        <v>1</v>
      </c>
      <c r="Z235" s="73"/>
      <c r="AA235" s="112"/>
      <c r="AB235" s="118"/>
      <c r="AC235" s="106"/>
      <c r="AD235" s="106"/>
      <c r="AE235" s="2"/>
      <c r="AF235" s="2"/>
    </row>
    <row r="236" spans="1:32" outlineLevel="1">
      <c r="A236" s="106">
        <v>235</v>
      </c>
      <c r="B236" s="73"/>
      <c r="C236" s="73"/>
      <c r="D236" s="216"/>
      <c r="E236" s="226" t="s">
        <v>2133</v>
      </c>
      <c r="F236" s="218"/>
      <c r="G236" s="75"/>
      <c r="H236" s="75" t="s">
        <v>2134</v>
      </c>
      <c r="I236" s="75"/>
      <c r="J236" s="76"/>
      <c r="K236" s="73"/>
      <c r="L236" s="113"/>
      <c r="M236" s="114"/>
      <c r="N236" s="182"/>
      <c r="O236" s="115"/>
      <c r="P236" s="115"/>
      <c r="Q236" s="116"/>
      <c r="R236" s="115"/>
      <c r="S236" s="115"/>
      <c r="T236" s="106"/>
      <c r="U236" s="106"/>
      <c r="V236" s="106"/>
      <c r="W236" s="73"/>
      <c r="X236" s="73"/>
      <c r="Y236" s="73"/>
      <c r="Z236" s="73"/>
      <c r="AA236" s="111" t="s">
        <v>330</v>
      </c>
      <c r="AB236" s="118"/>
      <c r="AC236" s="106" t="s">
        <v>177</v>
      </c>
      <c r="AD236" s="106" t="s">
        <v>326</v>
      </c>
      <c r="AE236" s="2"/>
      <c r="AF236" s="2"/>
    </row>
    <row r="237" spans="1:32" outlineLevel="1">
      <c r="A237" s="106">
        <v>236</v>
      </c>
      <c r="B237" s="73" t="s">
        <v>2135</v>
      </c>
      <c r="C237" s="73" t="s">
        <v>1897</v>
      </c>
      <c r="D237" s="216"/>
      <c r="E237" s="226" t="s">
        <v>2136</v>
      </c>
      <c r="F237" s="218"/>
      <c r="G237" s="75"/>
      <c r="H237" s="75"/>
      <c r="I237" s="90" t="s">
        <v>2137</v>
      </c>
      <c r="J237" s="76"/>
      <c r="K237" s="77" t="s">
        <v>1592</v>
      </c>
      <c r="L237" s="107"/>
      <c r="M237" s="108"/>
      <c r="N237" s="181"/>
      <c r="O237" s="119" t="s">
        <v>34</v>
      </c>
      <c r="P237" s="120">
        <v>46181</v>
      </c>
      <c r="Q237" s="173" t="s">
        <v>1566</v>
      </c>
      <c r="R237" s="109"/>
      <c r="S237" s="109"/>
      <c r="T237" s="106"/>
      <c r="U237" s="106"/>
      <c r="V237" s="106"/>
      <c r="W237" s="73" t="s">
        <v>2631</v>
      </c>
      <c r="X237" s="73">
        <v>1</v>
      </c>
      <c r="Y237" s="73">
        <v>1</v>
      </c>
      <c r="Z237" s="73"/>
      <c r="AA237" s="111" t="s">
        <v>332</v>
      </c>
      <c r="AB237" s="118"/>
      <c r="AC237" s="106"/>
      <c r="AD237" s="106"/>
      <c r="AE237" s="2"/>
      <c r="AF237" s="2"/>
    </row>
    <row r="238" spans="1:32" outlineLevel="1">
      <c r="A238" s="106">
        <v>237</v>
      </c>
      <c r="B238" s="73" t="s">
        <v>333</v>
      </c>
      <c r="C238" s="73" t="s">
        <v>1897</v>
      </c>
      <c r="D238" s="216"/>
      <c r="E238" s="226" t="s">
        <v>2138</v>
      </c>
      <c r="F238" s="218"/>
      <c r="G238" s="75"/>
      <c r="H238" s="75"/>
      <c r="I238" s="90" t="s">
        <v>2139</v>
      </c>
      <c r="J238" s="76"/>
      <c r="K238" s="77" t="s">
        <v>2140</v>
      </c>
      <c r="L238" s="107"/>
      <c r="M238" s="108"/>
      <c r="N238" s="181"/>
      <c r="O238" s="119" t="s">
        <v>34</v>
      </c>
      <c r="P238" s="120">
        <v>46181</v>
      </c>
      <c r="Q238" s="173" t="s">
        <v>1566</v>
      </c>
      <c r="R238" s="109"/>
      <c r="S238" s="109"/>
      <c r="T238" s="106"/>
      <c r="U238" s="106"/>
      <c r="V238" s="106"/>
      <c r="W238" s="73" t="s">
        <v>2629</v>
      </c>
      <c r="X238" s="73">
        <v>1</v>
      </c>
      <c r="Y238" s="73">
        <v>1</v>
      </c>
      <c r="Z238" s="73"/>
      <c r="AA238" s="111" t="s">
        <v>332</v>
      </c>
      <c r="AB238" s="118"/>
      <c r="AC238" s="106"/>
      <c r="AD238" s="106"/>
      <c r="AE238" s="2"/>
      <c r="AF238" s="2"/>
    </row>
    <row r="239" spans="1:32" outlineLevel="1">
      <c r="A239" s="106">
        <v>238</v>
      </c>
      <c r="B239" s="73" t="s">
        <v>334</v>
      </c>
      <c r="C239" s="73" t="s">
        <v>1897</v>
      </c>
      <c r="D239" s="216"/>
      <c r="E239" s="226" t="s">
        <v>2141</v>
      </c>
      <c r="F239" s="218"/>
      <c r="G239" s="75"/>
      <c r="H239" s="75"/>
      <c r="I239" s="90" t="s">
        <v>2142</v>
      </c>
      <c r="J239" s="76"/>
      <c r="K239" s="77" t="s">
        <v>1592</v>
      </c>
      <c r="L239" s="107" t="s">
        <v>25</v>
      </c>
      <c r="M239" s="108"/>
      <c r="N239" s="181"/>
      <c r="O239" s="119" t="s">
        <v>34</v>
      </c>
      <c r="P239" s="120">
        <v>46181</v>
      </c>
      <c r="Q239" s="173" t="s">
        <v>1566</v>
      </c>
      <c r="R239" s="109"/>
      <c r="S239" s="109"/>
      <c r="T239" s="106"/>
      <c r="U239" s="106"/>
      <c r="V239" s="106"/>
      <c r="W239" s="73" t="s">
        <v>2629</v>
      </c>
      <c r="X239" s="73">
        <v>1</v>
      </c>
      <c r="Y239" s="73">
        <v>1</v>
      </c>
      <c r="Z239" s="73"/>
      <c r="AA239" s="111" t="s">
        <v>332</v>
      </c>
      <c r="AB239" s="118"/>
      <c r="AC239" s="106"/>
      <c r="AD239" s="106"/>
      <c r="AE239" s="2"/>
      <c r="AF239" s="2"/>
    </row>
    <row r="240" spans="1:32" ht="22.5" outlineLevel="1">
      <c r="A240" s="106">
        <v>239</v>
      </c>
      <c r="B240" s="73" t="s">
        <v>335</v>
      </c>
      <c r="C240" s="73" t="s">
        <v>1897</v>
      </c>
      <c r="D240" s="216"/>
      <c r="E240" s="226" t="s">
        <v>2143</v>
      </c>
      <c r="F240" s="218"/>
      <c r="G240" s="75"/>
      <c r="H240" s="75"/>
      <c r="I240" s="90" t="s">
        <v>2144</v>
      </c>
      <c r="J240" s="76"/>
      <c r="K240" s="77" t="s">
        <v>1592</v>
      </c>
      <c r="L240" s="107"/>
      <c r="M240" s="108"/>
      <c r="N240" s="181"/>
      <c r="O240" s="119" t="s">
        <v>34</v>
      </c>
      <c r="P240" s="120">
        <v>46181</v>
      </c>
      <c r="Q240" s="173" t="s">
        <v>1566</v>
      </c>
      <c r="R240" s="109"/>
      <c r="S240" s="109"/>
      <c r="T240" s="106"/>
      <c r="U240" s="106"/>
      <c r="V240" s="106"/>
      <c r="W240" s="73" t="s">
        <v>2629</v>
      </c>
      <c r="X240" s="73">
        <v>1</v>
      </c>
      <c r="Y240" s="73">
        <v>1</v>
      </c>
      <c r="Z240" s="73"/>
      <c r="AA240" s="111" t="s">
        <v>332</v>
      </c>
      <c r="AB240" s="118"/>
      <c r="AC240" s="106"/>
      <c r="AD240" s="106"/>
      <c r="AE240" s="2"/>
      <c r="AF240" s="2"/>
    </row>
    <row r="241" spans="1:32" ht="24" outlineLevel="1">
      <c r="A241" s="106">
        <v>240</v>
      </c>
      <c r="B241" s="73" t="s">
        <v>336</v>
      </c>
      <c r="C241" s="73" t="s">
        <v>1897</v>
      </c>
      <c r="D241" s="216"/>
      <c r="E241" s="226" t="s">
        <v>2143</v>
      </c>
      <c r="F241" s="218"/>
      <c r="G241" s="75"/>
      <c r="H241" s="75"/>
      <c r="I241" s="90" t="s">
        <v>2145</v>
      </c>
      <c r="J241" s="76"/>
      <c r="K241" s="77" t="s">
        <v>1592</v>
      </c>
      <c r="L241" s="107"/>
      <c r="M241" s="108"/>
      <c r="N241" s="181"/>
      <c r="O241" s="119" t="s">
        <v>34</v>
      </c>
      <c r="P241" s="120">
        <v>46181</v>
      </c>
      <c r="Q241" s="173" t="s">
        <v>1566</v>
      </c>
      <c r="R241" s="109"/>
      <c r="S241" s="109"/>
      <c r="T241" s="106"/>
      <c r="U241" s="106"/>
      <c r="V241" s="106"/>
      <c r="W241" s="73" t="s">
        <v>2629</v>
      </c>
      <c r="X241" s="73">
        <v>1</v>
      </c>
      <c r="Y241" s="73">
        <v>1</v>
      </c>
      <c r="Z241" s="73"/>
      <c r="AA241" s="111" t="s">
        <v>332</v>
      </c>
      <c r="AB241" s="118"/>
      <c r="AC241" s="106"/>
      <c r="AD241" s="106"/>
      <c r="AE241" s="2"/>
      <c r="AF241" s="2"/>
    </row>
    <row r="242" spans="1:32" outlineLevel="1">
      <c r="A242" s="106">
        <v>241</v>
      </c>
      <c r="B242" s="73" t="s">
        <v>337</v>
      </c>
      <c r="C242" s="73" t="s">
        <v>1897</v>
      </c>
      <c r="D242" s="216"/>
      <c r="E242" s="226" t="s">
        <v>2146</v>
      </c>
      <c r="F242" s="218"/>
      <c r="G242" s="75"/>
      <c r="H242" s="75"/>
      <c r="I242" s="90" t="s">
        <v>2147</v>
      </c>
      <c r="J242" s="76"/>
      <c r="K242" s="77" t="s">
        <v>1592</v>
      </c>
      <c r="L242" s="107"/>
      <c r="M242" s="108"/>
      <c r="N242" s="181"/>
      <c r="O242" s="119" t="s">
        <v>34</v>
      </c>
      <c r="P242" s="120">
        <v>46181</v>
      </c>
      <c r="Q242" s="173" t="s">
        <v>1566</v>
      </c>
      <c r="R242" s="109"/>
      <c r="S242" s="109"/>
      <c r="T242" s="106"/>
      <c r="U242" s="106"/>
      <c r="V242" s="106"/>
      <c r="W242" s="73" t="s">
        <v>2629</v>
      </c>
      <c r="X242" s="73">
        <v>1</v>
      </c>
      <c r="Y242" s="73">
        <v>1</v>
      </c>
      <c r="Z242" s="73"/>
      <c r="AA242" s="111" t="s">
        <v>332</v>
      </c>
      <c r="AB242" s="118"/>
      <c r="AC242" s="106"/>
      <c r="AD242" s="106"/>
      <c r="AE242" s="2"/>
      <c r="AF242" s="2"/>
    </row>
    <row r="243" spans="1:32" ht="24" outlineLevel="1">
      <c r="A243" s="106">
        <v>242</v>
      </c>
      <c r="B243" s="73" t="s">
        <v>338</v>
      </c>
      <c r="C243" s="73" t="s">
        <v>1897</v>
      </c>
      <c r="D243" s="216"/>
      <c r="E243" s="226" t="s">
        <v>2146</v>
      </c>
      <c r="F243" s="218"/>
      <c r="G243" s="75"/>
      <c r="H243" s="75"/>
      <c r="I243" s="90" t="s">
        <v>2148</v>
      </c>
      <c r="J243" s="76"/>
      <c r="K243" s="77" t="s">
        <v>1592</v>
      </c>
      <c r="L243" s="107"/>
      <c r="M243" s="108"/>
      <c r="N243" s="181"/>
      <c r="O243" s="119" t="s">
        <v>34</v>
      </c>
      <c r="P243" s="120">
        <v>46181</v>
      </c>
      <c r="Q243" s="173" t="s">
        <v>1566</v>
      </c>
      <c r="R243" s="109"/>
      <c r="S243" s="109"/>
      <c r="T243" s="106"/>
      <c r="U243" s="106"/>
      <c r="V243" s="106"/>
      <c r="W243" s="73" t="s">
        <v>2629</v>
      </c>
      <c r="X243" s="73">
        <v>1</v>
      </c>
      <c r="Y243" s="73">
        <v>1</v>
      </c>
      <c r="Z243" s="73"/>
      <c r="AA243" s="111" t="s">
        <v>332</v>
      </c>
      <c r="AB243" s="118"/>
      <c r="AC243" s="106"/>
      <c r="AD243" s="106"/>
      <c r="AE243" s="2"/>
      <c r="AF243" s="2"/>
    </row>
    <row r="244" spans="1:32" ht="24" outlineLevel="1">
      <c r="A244" s="106">
        <v>243</v>
      </c>
      <c r="B244" s="73" t="s">
        <v>339</v>
      </c>
      <c r="C244" s="73" t="s">
        <v>1897</v>
      </c>
      <c r="D244" s="216"/>
      <c r="E244" s="226" t="s">
        <v>2143</v>
      </c>
      <c r="F244" s="218"/>
      <c r="G244" s="75"/>
      <c r="H244" s="75"/>
      <c r="I244" s="90" t="s">
        <v>2149</v>
      </c>
      <c r="J244" s="76"/>
      <c r="K244" s="77" t="s">
        <v>1592</v>
      </c>
      <c r="L244" s="107"/>
      <c r="M244" s="108"/>
      <c r="N244" s="181"/>
      <c r="O244" s="119" t="s">
        <v>34</v>
      </c>
      <c r="P244" s="120">
        <v>46181</v>
      </c>
      <c r="Q244" s="173" t="s">
        <v>1566</v>
      </c>
      <c r="R244" s="109"/>
      <c r="S244" s="109"/>
      <c r="T244" s="106"/>
      <c r="U244" s="106"/>
      <c r="V244" s="106"/>
      <c r="W244" s="73" t="s">
        <v>2629</v>
      </c>
      <c r="X244" s="73">
        <v>1</v>
      </c>
      <c r="Y244" s="73">
        <v>1</v>
      </c>
      <c r="Z244" s="73"/>
      <c r="AA244" s="111" t="s">
        <v>332</v>
      </c>
      <c r="AB244" s="118"/>
      <c r="AC244" s="106"/>
      <c r="AD244" s="106"/>
      <c r="AE244" s="2"/>
      <c r="AF244" s="2"/>
    </row>
    <row r="245" spans="1:32" ht="24" outlineLevel="1">
      <c r="A245" s="106">
        <v>244</v>
      </c>
      <c r="B245" s="73" t="s">
        <v>340</v>
      </c>
      <c r="C245" s="73" t="s">
        <v>1897</v>
      </c>
      <c r="D245" s="216"/>
      <c r="E245" s="226" t="s">
        <v>2150</v>
      </c>
      <c r="F245" s="218"/>
      <c r="G245" s="75"/>
      <c r="H245" s="75"/>
      <c r="I245" s="90" t="s">
        <v>2151</v>
      </c>
      <c r="J245" s="76"/>
      <c r="K245" s="77" t="s">
        <v>1592</v>
      </c>
      <c r="L245" s="107"/>
      <c r="M245" s="108"/>
      <c r="N245" s="181"/>
      <c r="O245" s="119" t="s">
        <v>34</v>
      </c>
      <c r="P245" s="120">
        <v>46181</v>
      </c>
      <c r="Q245" s="173" t="s">
        <v>1566</v>
      </c>
      <c r="R245" s="109"/>
      <c r="S245" s="109"/>
      <c r="T245" s="106"/>
      <c r="U245" s="106"/>
      <c r="V245" s="106"/>
      <c r="W245" s="73" t="s">
        <v>2633</v>
      </c>
      <c r="X245" s="73">
        <v>1</v>
      </c>
      <c r="Y245" s="73">
        <v>1</v>
      </c>
      <c r="Z245" s="73"/>
      <c r="AA245" s="111" t="s">
        <v>332</v>
      </c>
      <c r="AB245" s="118"/>
      <c r="AC245" s="106"/>
      <c r="AD245" s="106"/>
      <c r="AE245" s="2"/>
      <c r="AF245" s="2"/>
    </row>
    <row r="246" spans="1:32" outlineLevel="1">
      <c r="A246" s="106">
        <v>245</v>
      </c>
      <c r="B246" s="73" t="s">
        <v>341</v>
      </c>
      <c r="C246" s="73" t="s">
        <v>1897</v>
      </c>
      <c r="D246" s="216"/>
      <c r="E246" s="226" t="s">
        <v>2152</v>
      </c>
      <c r="F246" s="218"/>
      <c r="G246" s="75"/>
      <c r="H246" s="75"/>
      <c r="I246" s="90" t="s">
        <v>2153</v>
      </c>
      <c r="J246" s="76"/>
      <c r="K246" s="77" t="s">
        <v>1592</v>
      </c>
      <c r="L246" s="107"/>
      <c r="M246" s="108"/>
      <c r="N246" s="181"/>
      <c r="O246" s="119" t="s">
        <v>34</v>
      </c>
      <c r="P246" s="120">
        <v>46181</v>
      </c>
      <c r="Q246" s="173" t="s">
        <v>1566</v>
      </c>
      <c r="R246" s="109"/>
      <c r="S246" s="109"/>
      <c r="T246" s="106"/>
      <c r="U246" s="106"/>
      <c r="V246" s="106"/>
      <c r="W246" s="73" t="s">
        <v>2629</v>
      </c>
      <c r="X246" s="73">
        <v>1</v>
      </c>
      <c r="Y246" s="73">
        <v>1</v>
      </c>
      <c r="Z246" s="73"/>
      <c r="AA246" s="111" t="s">
        <v>332</v>
      </c>
      <c r="AB246" s="118"/>
      <c r="AC246" s="106"/>
      <c r="AD246" s="106"/>
      <c r="AE246" s="2"/>
      <c r="AF246" s="2"/>
    </row>
    <row r="247" spans="1:32" ht="24" outlineLevel="1">
      <c r="A247" s="106">
        <v>246</v>
      </c>
      <c r="B247" s="73" t="s">
        <v>342</v>
      </c>
      <c r="C247" s="73" t="s">
        <v>1897</v>
      </c>
      <c r="D247" s="216"/>
      <c r="E247" s="226" t="s">
        <v>2154</v>
      </c>
      <c r="F247" s="218"/>
      <c r="G247" s="75"/>
      <c r="H247" s="75"/>
      <c r="I247" s="90" t="s">
        <v>2155</v>
      </c>
      <c r="J247" s="76"/>
      <c r="K247" s="77" t="s">
        <v>1592</v>
      </c>
      <c r="L247" s="107"/>
      <c r="M247" s="108"/>
      <c r="N247" s="181"/>
      <c r="O247" s="119" t="s">
        <v>34</v>
      </c>
      <c r="P247" s="120">
        <v>46181</v>
      </c>
      <c r="Q247" s="173" t="s">
        <v>1566</v>
      </c>
      <c r="R247" s="109"/>
      <c r="S247" s="109"/>
      <c r="T247" s="106"/>
      <c r="U247" s="106"/>
      <c r="V247" s="106"/>
      <c r="W247" s="73" t="s">
        <v>2633</v>
      </c>
      <c r="X247" s="73">
        <v>1</v>
      </c>
      <c r="Y247" s="73">
        <v>1</v>
      </c>
      <c r="Z247" s="73"/>
      <c r="AA247" s="111" t="s">
        <v>332</v>
      </c>
      <c r="AB247" s="118"/>
      <c r="AC247" s="106"/>
      <c r="AD247" s="106"/>
      <c r="AE247" s="2"/>
      <c r="AF247" s="2"/>
    </row>
    <row r="248" spans="1:32" outlineLevel="1">
      <c r="A248" s="106">
        <v>247</v>
      </c>
      <c r="B248" s="73" t="s">
        <v>343</v>
      </c>
      <c r="C248" s="73" t="s">
        <v>1897</v>
      </c>
      <c r="D248" s="216"/>
      <c r="E248" s="226" t="s">
        <v>2156</v>
      </c>
      <c r="F248" s="218"/>
      <c r="G248" s="75"/>
      <c r="H248" s="75"/>
      <c r="I248" s="90" t="s">
        <v>2157</v>
      </c>
      <c r="J248" s="76"/>
      <c r="K248" s="77" t="s">
        <v>1592</v>
      </c>
      <c r="L248" s="107"/>
      <c r="M248" s="108"/>
      <c r="N248" s="181"/>
      <c r="O248" s="119" t="s">
        <v>34</v>
      </c>
      <c r="P248" s="120">
        <v>46181</v>
      </c>
      <c r="Q248" s="173" t="s">
        <v>1566</v>
      </c>
      <c r="R248" s="109"/>
      <c r="S248" s="109"/>
      <c r="T248" s="106"/>
      <c r="U248" s="106"/>
      <c r="V248" s="106"/>
      <c r="W248" s="73" t="s">
        <v>2628</v>
      </c>
      <c r="X248" s="73">
        <v>1</v>
      </c>
      <c r="Y248" s="73">
        <v>1</v>
      </c>
      <c r="Z248" s="73"/>
      <c r="AA248" s="111" t="s">
        <v>332</v>
      </c>
      <c r="AB248" s="118"/>
      <c r="AC248" s="106"/>
      <c r="AD248" s="106"/>
      <c r="AE248" s="2"/>
      <c r="AF248" s="2"/>
    </row>
    <row r="249" spans="1:32" outlineLevel="1">
      <c r="A249" s="106">
        <v>248</v>
      </c>
      <c r="B249" s="73" t="s">
        <v>344</v>
      </c>
      <c r="C249" s="73" t="s">
        <v>1897</v>
      </c>
      <c r="D249" s="216"/>
      <c r="E249" s="226" t="s">
        <v>2158</v>
      </c>
      <c r="F249" s="218" t="s">
        <v>2159</v>
      </c>
      <c r="G249" s="75" t="s">
        <v>2159</v>
      </c>
      <c r="H249" s="75"/>
      <c r="I249" s="90" t="s">
        <v>2160</v>
      </c>
      <c r="J249" s="76"/>
      <c r="K249" s="77" t="s">
        <v>1592</v>
      </c>
      <c r="L249" s="107"/>
      <c r="M249" s="108"/>
      <c r="N249" s="181"/>
      <c r="O249" s="119" t="s">
        <v>34</v>
      </c>
      <c r="P249" s="120">
        <v>46181</v>
      </c>
      <c r="Q249" s="173" t="s">
        <v>1566</v>
      </c>
      <c r="R249" s="109"/>
      <c r="S249" s="109"/>
      <c r="T249" s="106"/>
      <c r="U249" s="106"/>
      <c r="V249" s="106"/>
      <c r="W249" s="73" t="s">
        <v>2628</v>
      </c>
      <c r="X249" s="73">
        <v>1</v>
      </c>
      <c r="Y249" s="73">
        <v>1</v>
      </c>
      <c r="Z249" s="73"/>
      <c r="AA249" s="111" t="s">
        <v>332</v>
      </c>
      <c r="AB249" s="118"/>
      <c r="AC249" s="106"/>
      <c r="AD249" s="106"/>
      <c r="AE249" s="2"/>
      <c r="AF249" s="2"/>
    </row>
    <row r="250" spans="1:32" outlineLevel="1">
      <c r="A250" s="106">
        <v>249</v>
      </c>
      <c r="B250" s="73" t="s">
        <v>345</v>
      </c>
      <c r="C250" s="73" t="s">
        <v>2161</v>
      </c>
      <c r="D250" s="216"/>
      <c r="E250" s="226" t="s">
        <v>2162</v>
      </c>
      <c r="F250" s="218"/>
      <c r="G250" s="75"/>
      <c r="H250" s="75"/>
      <c r="I250" s="90" t="s">
        <v>2163</v>
      </c>
      <c r="J250" s="76"/>
      <c r="K250" s="77" t="s">
        <v>1592</v>
      </c>
      <c r="L250" s="107"/>
      <c r="M250" s="108"/>
      <c r="N250" s="181"/>
      <c r="O250" s="119" t="s">
        <v>34</v>
      </c>
      <c r="P250" s="120">
        <v>46181</v>
      </c>
      <c r="Q250" s="173" t="s">
        <v>1566</v>
      </c>
      <c r="R250" s="109"/>
      <c r="S250" s="109"/>
      <c r="T250" s="106"/>
      <c r="U250" s="106"/>
      <c r="V250" s="106"/>
      <c r="W250" s="73" t="s">
        <v>2628</v>
      </c>
      <c r="X250" s="73">
        <v>1</v>
      </c>
      <c r="Y250" s="73">
        <v>1</v>
      </c>
      <c r="Z250" s="73"/>
      <c r="AA250" s="111" t="s">
        <v>332</v>
      </c>
      <c r="AB250" s="118"/>
      <c r="AC250" s="106"/>
      <c r="AD250" s="106"/>
      <c r="AE250" s="2"/>
      <c r="AF250" s="2"/>
    </row>
    <row r="251" spans="1:32" outlineLevel="1">
      <c r="A251" s="106">
        <v>250</v>
      </c>
      <c r="B251" s="73" t="s">
        <v>346</v>
      </c>
      <c r="C251" s="73" t="s">
        <v>1897</v>
      </c>
      <c r="D251" s="216"/>
      <c r="E251" s="226" t="s">
        <v>2164</v>
      </c>
      <c r="F251" s="218"/>
      <c r="G251" s="75"/>
      <c r="H251" s="75"/>
      <c r="I251" s="90" t="s">
        <v>2165</v>
      </c>
      <c r="J251" s="76"/>
      <c r="K251" s="77" t="s">
        <v>1592</v>
      </c>
      <c r="L251" s="107"/>
      <c r="M251" s="108"/>
      <c r="N251" s="181"/>
      <c r="O251" s="119" t="s">
        <v>34</v>
      </c>
      <c r="P251" s="120">
        <v>46181</v>
      </c>
      <c r="Q251" s="173" t="s">
        <v>1566</v>
      </c>
      <c r="R251" s="109"/>
      <c r="S251" s="109"/>
      <c r="T251" s="106"/>
      <c r="U251" s="106"/>
      <c r="V251" s="106"/>
      <c r="W251" s="73" t="s">
        <v>2629</v>
      </c>
      <c r="X251" s="73">
        <v>1</v>
      </c>
      <c r="Y251" s="73">
        <v>1</v>
      </c>
      <c r="Z251" s="73"/>
      <c r="AA251" s="111" t="s">
        <v>332</v>
      </c>
      <c r="AB251" s="118"/>
      <c r="AC251" s="106"/>
      <c r="AD251" s="106"/>
      <c r="AE251" s="2"/>
      <c r="AF251" s="2"/>
    </row>
    <row r="252" spans="1:32" outlineLevel="1">
      <c r="A252" s="106">
        <v>251</v>
      </c>
      <c r="B252" s="73" t="s">
        <v>347</v>
      </c>
      <c r="C252" s="73" t="s">
        <v>1897</v>
      </c>
      <c r="D252" s="216"/>
      <c r="E252" s="226" t="s">
        <v>2166</v>
      </c>
      <c r="F252" s="218"/>
      <c r="G252" s="75"/>
      <c r="H252" s="75"/>
      <c r="I252" s="90" t="s">
        <v>2167</v>
      </c>
      <c r="J252" s="76"/>
      <c r="K252" s="77" t="s">
        <v>1592</v>
      </c>
      <c r="L252" s="107"/>
      <c r="M252" s="108"/>
      <c r="N252" s="181"/>
      <c r="O252" s="119" t="s">
        <v>34</v>
      </c>
      <c r="P252" s="120">
        <v>46181</v>
      </c>
      <c r="Q252" s="173" t="s">
        <v>1566</v>
      </c>
      <c r="R252" s="109"/>
      <c r="S252" s="109"/>
      <c r="T252" s="106"/>
      <c r="U252" s="106"/>
      <c r="V252" s="106"/>
      <c r="W252" s="73" t="s">
        <v>2633</v>
      </c>
      <c r="X252" s="73">
        <v>1</v>
      </c>
      <c r="Y252" s="73">
        <v>1</v>
      </c>
      <c r="Z252" s="73"/>
      <c r="AA252" s="111" t="s">
        <v>332</v>
      </c>
      <c r="AB252" s="118"/>
      <c r="AC252" s="106"/>
      <c r="AD252" s="106"/>
      <c r="AE252" s="2"/>
      <c r="AF252" s="2"/>
    </row>
    <row r="253" spans="1:32" ht="24" outlineLevel="1">
      <c r="A253" s="106">
        <v>252</v>
      </c>
      <c r="B253" s="73" t="s">
        <v>348</v>
      </c>
      <c r="C253" s="73" t="s">
        <v>1897</v>
      </c>
      <c r="D253" s="216"/>
      <c r="E253" s="226" t="s">
        <v>2168</v>
      </c>
      <c r="F253" s="218"/>
      <c r="G253" s="75"/>
      <c r="H253" s="75"/>
      <c r="I253" s="90" t="s">
        <v>2169</v>
      </c>
      <c r="J253" s="76"/>
      <c r="K253" s="77" t="s">
        <v>2140</v>
      </c>
      <c r="L253" s="107"/>
      <c r="M253" s="108"/>
      <c r="N253" s="181"/>
      <c r="O253" s="119" t="s">
        <v>34</v>
      </c>
      <c r="P253" s="120">
        <v>46181</v>
      </c>
      <c r="Q253" s="173" t="s">
        <v>1566</v>
      </c>
      <c r="R253" s="109"/>
      <c r="S253" s="109"/>
      <c r="T253" s="106"/>
      <c r="U253" s="106"/>
      <c r="V253" s="106"/>
      <c r="W253" s="73" t="s">
        <v>2629</v>
      </c>
      <c r="X253" s="73">
        <v>1</v>
      </c>
      <c r="Y253" s="73">
        <v>1</v>
      </c>
      <c r="Z253" s="73"/>
      <c r="AA253" s="111" t="s">
        <v>332</v>
      </c>
      <c r="AB253" s="118"/>
      <c r="AC253" s="106"/>
      <c r="AD253" s="106"/>
      <c r="AE253" s="2"/>
      <c r="AF253" s="2"/>
    </row>
    <row r="254" spans="1:32" outlineLevel="1">
      <c r="A254" s="106">
        <v>253</v>
      </c>
      <c r="B254" s="73" t="s">
        <v>2170</v>
      </c>
      <c r="C254" s="73" t="s">
        <v>1897</v>
      </c>
      <c r="D254" s="216"/>
      <c r="E254" s="226" t="s">
        <v>2171</v>
      </c>
      <c r="F254" s="218"/>
      <c r="G254" s="75"/>
      <c r="H254" s="75" t="s">
        <v>2172</v>
      </c>
      <c r="I254" s="75"/>
      <c r="J254" s="76"/>
      <c r="K254" s="77" t="s">
        <v>2140</v>
      </c>
      <c r="L254" s="107"/>
      <c r="M254" s="108"/>
      <c r="N254" s="181"/>
      <c r="O254" s="119" t="s">
        <v>34</v>
      </c>
      <c r="P254" s="120">
        <v>46181</v>
      </c>
      <c r="Q254" s="173" t="s">
        <v>1566</v>
      </c>
      <c r="R254" s="109"/>
      <c r="S254" s="109"/>
      <c r="T254" s="106"/>
      <c r="U254" s="106"/>
      <c r="V254" s="106"/>
      <c r="W254" s="73" t="s">
        <v>2626</v>
      </c>
      <c r="X254" s="73"/>
      <c r="Y254" s="73">
        <v>1</v>
      </c>
      <c r="Z254" s="73">
        <v>1</v>
      </c>
      <c r="AA254" s="111" t="s">
        <v>349</v>
      </c>
      <c r="AB254" s="118"/>
      <c r="AC254" s="106" t="s">
        <v>177</v>
      </c>
      <c r="AD254" s="106" t="s">
        <v>326</v>
      </c>
      <c r="AE254" s="2"/>
      <c r="AF254" s="2"/>
    </row>
    <row r="255" spans="1:32" outlineLevel="1">
      <c r="A255" s="106">
        <v>254</v>
      </c>
      <c r="B255" s="73" t="s">
        <v>1959</v>
      </c>
      <c r="C255" s="87" t="s">
        <v>1883</v>
      </c>
      <c r="D255" s="216" t="s">
        <v>1960</v>
      </c>
      <c r="E255" s="215" t="s">
        <v>2117</v>
      </c>
      <c r="F255" s="218" t="s">
        <v>1962</v>
      </c>
      <c r="G255" s="75" t="s">
        <v>1963</v>
      </c>
      <c r="H255" s="75"/>
      <c r="I255" s="75"/>
      <c r="J255" s="76"/>
      <c r="K255" s="73"/>
      <c r="L255" s="113"/>
      <c r="M255" s="114"/>
      <c r="N255" s="182"/>
      <c r="O255" s="109" t="s">
        <v>24</v>
      </c>
      <c r="P255" s="115"/>
      <c r="Q255" s="116"/>
      <c r="R255" s="115"/>
      <c r="S255" s="115"/>
      <c r="T255" s="106"/>
      <c r="U255" s="106"/>
      <c r="V255" s="106"/>
      <c r="W255" s="76"/>
      <c r="X255" s="76"/>
      <c r="Y255" s="76"/>
      <c r="Z255" s="73"/>
      <c r="AA255" s="111" t="s">
        <v>351</v>
      </c>
      <c r="AB255" s="129"/>
      <c r="AC255" s="106"/>
      <c r="AD255" s="106"/>
      <c r="AE255" s="2"/>
      <c r="AF255" s="2"/>
    </row>
    <row r="256" spans="1:32" outlineLevel="1">
      <c r="A256" s="106">
        <v>255</v>
      </c>
      <c r="B256" s="73" t="s">
        <v>2173</v>
      </c>
      <c r="C256" s="73" t="s">
        <v>1891</v>
      </c>
      <c r="D256" s="216"/>
      <c r="E256" s="227" t="s">
        <v>2174</v>
      </c>
      <c r="F256" s="218"/>
      <c r="G256" s="75"/>
      <c r="H256" s="75" t="s">
        <v>1980</v>
      </c>
      <c r="I256" s="75" t="s">
        <v>1734</v>
      </c>
      <c r="J256" s="76"/>
      <c r="K256" s="77" t="s">
        <v>2140</v>
      </c>
      <c r="L256" s="107"/>
      <c r="M256" s="108"/>
      <c r="N256" s="181"/>
      <c r="O256" s="119" t="s">
        <v>34</v>
      </c>
      <c r="P256" s="120">
        <v>46181</v>
      </c>
      <c r="Q256" s="173" t="s">
        <v>1566</v>
      </c>
      <c r="R256" s="109"/>
      <c r="S256" s="109"/>
      <c r="T256" s="106"/>
      <c r="U256" s="106"/>
      <c r="V256" s="106"/>
      <c r="W256" s="73" t="s">
        <v>2631</v>
      </c>
      <c r="X256" s="73">
        <v>1</v>
      </c>
      <c r="Y256" s="73">
        <v>1</v>
      </c>
      <c r="Z256" s="73"/>
      <c r="AA256" s="111" t="s">
        <v>212</v>
      </c>
      <c r="AB256" s="118"/>
      <c r="AC256" s="106" t="s">
        <v>177</v>
      </c>
      <c r="AD256" s="106" t="s">
        <v>213</v>
      </c>
      <c r="AE256" s="2"/>
      <c r="AF256" s="2"/>
    </row>
    <row r="257" spans="1:32" outlineLevel="1">
      <c r="A257" s="106">
        <v>256</v>
      </c>
      <c r="B257" s="73" t="s">
        <v>352</v>
      </c>
      <c r="C257" s="73" t="s">
        <v>1891</v>
      </c>
      <c r="D257" s="216"/>
      <c r="E257" s="215" t="s">
        <v>2175</v>
      </c>
      <c r="F257" s="218"/>
      <c r="G257" s="75"/>
      <c r="H257" s="75"/>
      <c r="I257" s="75" t="s">
        <v>2176</v>
      </c>
      <c r="J257" s="76"/>
      <c r="K257" s="77" t="s">
        <v>1592</v>
      </c>
      <c r="L257" s="107"/>
      <c r="M257" s="108"/>
      <c r="N257" s="181"/>
      <c r="O257" s="119" t="s">
        <v>34</v>
      </c>
      <c r="P257" s="120">
        <v>46181</v>
      </c>
      <c r="Q257" s="173" t="s">
        <v>1566</v>
      </c>
      <c r="R257" s="109"/>
      <c r="S257" s="109"/>
      <c r="T257" s="106"/>
      <c r="U257" s="106"/>
      <c r="V257" s="106"/>
      <c r="W257" s="73" t="s">
        <v>2633</v>
      </c>
      <c r="X257" s="73">
        <v>1</v>
      </c>
      <c r="Y257" s="73">
        <v>1</v>
      </c>
      <c r="Z257" s="73"/>
      <c r="AA257" s="111" t="s">
        <v>353</v>
      </c>
      <c r="AB257" s="129"/>
      <c r="AC257" s="106"/>
      <c r="AD257" s="106"/>
      <c r="AE257" s="2"/>
      <c r="AF257" s="2"/>
    </row>
    <row r="258" spans="1:32" outlineLevel="1">
      <c r="A258" s="106">
        <v>257</v>
      </c>
      <c r="B258" s="73" t="s">
        <v>354</v>
      </c>
      <c r="C258" s="87" t="s">
        <v>1883</v>
      </c>
      <c r="D258" s="216"/>
      <c r="E258" s="226" t="s">
        <v>2177</v>
      </c>
      <c r="F258" s="218"/>
      <c r="G258" s="75"/>
      <c r="H258" s="75"/>
      <c r="I258" s="75" t="s">
        <v>2178</v>
      </c>
      <c r="J258" s="76"/>
      <c r="K258" s="77" t="s">
        <v>1592</v>
      </c>
      <c r="L258" s="107"/>
      <c r="M258" s="108"/>
      <c r="N258" s="181"/>
      <c r="O258" s="119" t="s">
        <v>34</v>
      </c>
      <c r="P258" s="120">
        <v>46181</v>
      </c>
      <c r="Q258" s="173" t="s">
        <v>1566</v>
      </c>
      <c r="R258" s="109"/>
      <c r="S258" s="109"/>
      <c r="T258" s="106"/>
      <c r="U258" s="106"/>
      <c r="V258" s="106"/>
      <c r="W258" s="73" t="s">
        <v>2633</v>
      </c>
      <c r="X258" s="73">
        <v>1</v>
      </c>
      <c r="Y258" s="73">
        <v>1</v>
      </c>
      <c r="Z258" s="73"/>
      <c r="AA258" s="111" t="s">
        <v>355</v>
      </c>
      <c r="AB258" s="129"/>
      <c r="AC258" s="106"/>
      <c r="AD258" s="106"/>
      <c r="AE258" s="2"/>
      <c r="AF258" s="2"/>
    </row>
    <row r="259" spans="1:32" outlineLevel="1">
      <c r="A259" s="106">
        <v>258</v>
      </c>
      <c r="B259" s="73" t="s">
        <v>356</v>
      </c>
      <c r="C259" s="73" t="s">
        <v>1891</v>
      </c>
      <c r="D259" s="216"/>
      <c r="E259" s="226" t="s">
        <v>2179</v>
      </c>
      <c r="F259" s="218"/>
      <c r="G259" s="75"/>
      <c r="H259" s="75"/>
      <c r="I259" s="75" t="s">
        <v>2180</v>
      </c>
      <c r="J259" s="76"/>
      <c r="K259" s="77" t="s">
        <v>1592</v>
      </c>
      <c r="L259" s="107" t="s">
        <v>25</v>
      </c>
      <c r="M259" s="108"/>
      <c r="N259" s="181"/>
      <c r="O259" s="119" t="s">
        <v>34</v>
      </c>
      <c r="P259" s="120">
        <v>46181</v>
      </c>
      <c r="Q259" s="173" t="s">
        <v>1566</v>
      </c>
      <c r="R259" s="109"/>
      <c r="S259" s="109"/>
      <c r="T259" s="106"/>
      <c r="U259" s="106"/>
      <c r="V259" s="106"/>
      <c r="W259" s="73" t="s">
        <v>2629</v>
      </c>
      <c r="X259" s="73">
        <v>1</v>
      </c>
      <c r="Y259" s="73">
        <v>1</v>
      </c>
      <c r="Z259" s="73"/>
      <c r="AA259" s="111" t="s">
        <v>357</v>
      </c>
      <c r="AB259" s="151"/>
      <c r="AC259" s="106"/>
      <c r="AD259" s="106"/>
      <c r="AE259" s="2"/>
      <c r="AF259" s="2"/>
    </row>
    <row r="260" spans="1:32" outlineLevel="1">
      <c r="A260" s="106">
        <v>259</v>
      </c>
      <c r="B260" s="73" t="s">
        <v>358</v>
      </c>
      <c r="C260" s="73" t="s">
        <v>1891</v>
      </c>
      <c r="D260" s="216"/>
      <c r="E260" s="226" t="s">
        <v>2181</v>
      </c>
      <c r="F260" s="218"/>
      <c r="G260" s="75"/>
      <c r="H260" s="75"/>
      <c r="I260" s="75" t="s">
        <v>2182</v>
      </c>
      <c r="J260" s="76"/>
      <c r="K260" s="77" t="s">
        <v>2140</v>
      </c>
      <c r="L260" s="107"/>
      <c r="M260" s="108"/>
      <c r="N260" s="181"/>
      <c r="O260" s="119" t="s">
        <v>34</v>
      </c>
      <c r="P260" s="120">
        <v>46181</v>
      </c>
      <c r="Q260" s="173" t="s">
        <v>1566</v>
      </c>
      <c r="R260" s="109"/>
      <c r="S260" s="109"/>
      <c r="T260" s="106"/>
      <c r="U260" s="106"/>
      <c r="V260" s="106"/>
      <c r="W260" s="73" t="s">
        <v>2630</v>
      </c>
      <c r="X260" s="73"/>
      <c r="Y260" s="73">
        <v>1</v>
      </c>
      <c r="Z260" s="73">
        <v>1</v>
      </c>
      <c r="AA260" s="111" t="s">
        <v>359</v>
      </c>
      <c r="AB260" s="129"/>
      <c r="AC260" s="106"/>
      <c r="AD260" s="106"/>
      <c r="AE260" s="2"/>
      <c r="AF260" s="2"/>
    </row>
    <row r="261" spans="1:32" outlineLevel="1">
      <c r="A261" s="106">
        <v>260</v>
      </c>
      <c r="B261" s="73"/>
      <c r="C261" s="73"/>
      <c r="D261" s="216"/>
      <c r="E261" s="75"/>
      <c r="F261" s="218"/>
      <c r="G261" s="75"/>
      <c r="H261" s="75"/>
      <c r="I261" s="75"/>
      <c r="J261" s="76" t="s">
        <v>2183</v>
      </c>
      <c r="K261" s="73"/>
      <c r="L261" s="113"/>
      <c r="M261" s="114"/>
      <c r="N261" s="182"/>
      <c r="O261" s="115"/>
      <c r="P261" s="115"/>
      <c r="Q261" s="116"/>
      <c r="R261" s="115"/>
      <c r="S261" s="115"/>
      <c r="T261" s="106"/>
      <c r="U261" s="106"/>
      <c r="V261" s="106"/>
      <c r="W261" s="73"/>
      <c r="X261" s="73"/>
      <c r="Y261" s="73"/>
      <c r="Z261" s="73"/>
      <c r="AA261" s="112"/>
      <c r="AB261" s="129"/>
      <c r="AC261" s="106"/>
      <c r="AD261" s="106"/>
      <c r="AE261" s="2"/>
      <c r="AF261" s="2"/>
    </row>
    <row r="262" spans="1:32" outlineLevel="1">
      <c r="A262" s="106">
        <v>261</v>
      </c>
      <c r="B262" s="73"/>
      <c r="C262" s="73"/>
      <c r="D262" s="216"/>
      <c r="E262" s="75"/>
      <c r="F262" s="218"/>
      <c r="G262" s="75"/>
      <c r="H262" s="75"/>
      <c r="I262" s="75"/>
      <c r="J262" s="76" t="s">
        <v>2184</v>
      </c>
      <c r="K262" s="73"/>
      <c r="L262" s="113"/>
      <c r="M262" s="114"/>
      <c r="N262" s="182"/>
      <c r="O262" s="115"/>
      <c r="P262" s="115"/>
      <c r="Q262" s="116"/>
      <c r="R262" s="115"/>
      <c r="S262" s="115"/>
      <c r="T262" s="106"/>
      <c r="U262" s="106"/>
      <c r="V262" s="106"/>
      <c r="W262" s="73"/>
      <c r="X262" s="73"/>
      <c r="Y262" s="73"/>
      <c r="Z262" s="73"/>
      <c r="AA262" s="112"/>
      <c r="AB262" s="129"/>
      <c r="AC262" s="106"/>
      <c r="AD262" s="106"/>
      <c r="AE262" s="2"/>
      <c r="AF262" s="2"/>
    </row>
    <row r="263" spans="1:32" outlineLevel="1">
      <c r="A263" s="106">
        <v>262</v>
      </c>
      <c r="B263" s="74" t="s">
        <v>1718</v>
      </c>
      <c r="C263" s="74" t="s">
        <v>1719</v>
      </c>
      <c r="D263" s="216" t="s">
        <v>1720</v>
      </c>
      <c r="E263" s="215" t="s">
        <v>2185</v>
      </c>
      <c r="F263" s="218" t="s">
        <v>1703</v>
      </c>
      <c r="G263" s="75" t="s">
        <v>1722</v>
      </c>
      <c r="H263" s="75"/>
      <c r="I263" s="75"/>
      <c r="J263" s="76"/>
      <c r="K263" s="77" t="s">
        <v>2140</v>
      </c>
      <c r="L263" s="107"/>
      <c r="M263" s="108"/>
      <c r="N263" s="181"/>
      <c r="O263" s="119" t="s">
        <v>34</v>
      </c>
      <c r="P263" s="120">
        <v>46181</v>
      </c>
      <c r="Q263" s="173" t="s">
        <v>1566</v>
      </c>
      <c r="R263" s="109"/>
      <c r="S263" s="109"/>
      <c r="T263" s="106"/>
      <c r="U263" s="106"/>
      <c r="V263" s="106"/>
      <c r="W263" s="73" t="s">
        <v>2629</v>
      </c>
      <c r="X263" s="73">
        <v>1</v>
      </c>
      <c r="Y263" s="73">
        <v>1</v>
      </c>
      <c r="Z263" s="73"/>
      <c r="AA263" s="111" t="s">
        <v>360</v>
      </c>
      <c r="AB263" s="129"/>
      <c r="AC263" s="106"/>
      <c r="AD263" s="106"/>
      <c r="AE263" s="2"/>
      <c r="AF263" s="2"/>
    </row>
    <row r="264" spans="1:32" outlineLevel="1">
      <c r="A264" s="106">
        <v>263</v>
      </c>
      <c r="B264" s="73"/>
      <c r="C264" s="73"/>
      <c r="D264" s="216"/>
      <c r="E264" s="75"/>
      <c r="F264" s="218"/>
      <c r="G264" s="75"/>
      <c r="H264" s="75" t="s">
        <v>1724</v>
      </c>
      <c r="I264" s="75"/>
      <c r="J264" s="76"/>
      <c r="K264" s="73"/>
      <c r="L264" s="113"/>
      <c r="M264" s="114"/>
      <c r="N264" s="182"/>
      <c r="O264" s="115"/>
      <c r="P264" s="115"/>
      <c r="Q264" s="116"/>
      <c r="R264" s="115"/>
      <c r="S264" s="115"/>
      <c r="T264" s="106"/>
      <c r="U264" s="106"/>
      <c r="V264" s="106"/>
      <c r="W264" s="73"/>
      <c r="X264" s="73"/>
      <c r="Y264" s="73"/>
      <c r="Z264" s="73"/>
      <c r="AA264" s="112"/>
      <c r="AB264" s="129"/>
      <c r="AC264" s="106"/>
      <c r="AD264" s="106"/>
      <c r="AE264" s="2"/>
      <c r="AF264" s="2"/>
    </row>
    <row r="265" spans="1:32" ht="24" outlineLevel="1">
      <c r="A265" s="106">
        <v>264</v>
      </c>
      <c r="B265" s="74" t="s">
        <v>98</v>
      </c>
      <c r="C265" s="74" t="s">
        <v>1725</v>
      </c>
      <c r="D265" s="216"/>
      <c r="E265" s="226" t="s">
        <v>2186</v>
      </c>
      <c r="F265" s="218"/>
      <c r="G265" s="75"/>
      <c r="H265" s="75" t="s">
        <v>1727</v>
      </c>
      <c r="I265" s="75"/>
      <c r="J265" s="76" t="s">
        <v>1728</v>
      </c>
      <c r="K265" s="77" t="s">
        <v>1592</v>
      </c>
      <c r="L265" s="107"/>
      <c r="M265" s="108"/>
      <c r="N265" s="181"/>
      <c r="O265" s="119" t="s">
        <v>34</v>
      </c>
      <c r="P265" s="120">
        <v>46181</v>
      </c>
      <c r="Q265" s="173" t="s">
        <v>1566</v>
      </c>
      <c r="R265" s="109"/>
      <c r="S265" s="109"/>
      <c r="T265" s="106"/>
      <c r="U265" s="106"/>
      <c r="V265" s="106"/>
      <c r="W265" s="73" t="s">
        <v>2629</v>
      </c>
      <c r="X265" s="73">
        <v>1</v>
      </c>
      <c r="Y265" s="73">
        <v>1</v>
      </c>
      <c r="Z265" s="73"/>
      <c r="AA265" s="111" t="s">
        <v>99</v>
      </c>
      <c r="AB265" s="129"/>
      <c r="AC265" s="106"/>
      <c r="AD265" s="106"/>
      <c r="AE265" s="2"/>
      <c r="AF265" s="2"/>
    </row>
    <row r="266" spans="1:32" outlineLevel="1">
      <c r="A266" s="106">
        <v>265</v>
      </c>
      <c r="B266" s="74" t="s">
        <v>100</v>
      </c>
      <c r="C266" s="74" t="s">
        <v>1719</v>
      </c>
      <c r="D266" s="216"/>
      <c r="E266" s="226" t="s">
        <v>2187</v>
      </c>
      <c r="F266" s="218"/>
      <c r="G266" s="75"/>
      <c r="H266" s="75" t="s">
        <v>1730</v>
      </c>
      <c r="I266" s="75"/>
      <c r="J266" s="76"/>
      <c r="K266" s="77" t="s">
        <v>2140</v>
      </c>
      <c r="L266" s="107"/>
      <c r="M266" s="108"/>
      <c r="N266" s="181"/>
      <c r="O266" s="119" t="s">
        <v>34</v>
      </c>
      <c r="P266" s="120">
        <v>46181</v>
      </c>
      <c r="Q266" s="173" t="s">
        <v>1566</v>
      </c>
      <c r="R266" s="109"/>
      <c r="S266" s="109"/>
      <c r="T266" s="106"/>
      <c r="U266" s="106"/>
      <c r="V266" s="106"/>
      <c r="W266" s="73" t="s">
        <v>2629</v>
      </c>
      <c r="X266" s="73">
        <v>1</v>
      </c>
      <c r="Y266" s="73">
        <v>1</v>
      </c>
      <c r="Z266" s="73"/>
      <c r="AA266" s="111" t="s">
        <v>101</v>
      </c>
      <c r="AB266" s="129"/>
      <c r="AC266" s="106"/>
      <c r="AD266" s="106"/>
      <c r="AE266" s="2"/>
      <c r="AF266" s="2"/>
    </row>
    <row r="267" spans="1:32" outlineLevel="1">
      <c r="A267" s="106">
        <v>266</v>
      </c>
      <c r="B267" s="73"/>
      <c r="C267" s="73"/>
      <c r="D267" s="216"/>
      <c r="E267" s="230"/>
      <c r="F267" s="218"/>
      <c r="G267" s="75"/>
      <c r="H267" s="75"/>
      <c r="I267" s="75" t="s">
        <v>1724</v>
      </c>
      <c r="J267" s="76"/>
      <c r="K267" s="73"/>
      <c r="L267" s="113"/>
      <c r="M267" s="114"/>
      <c r="N267" s="182"/>
      <c r="O267" s="115"/>
      <c r="P267" s="115"/>
      <c r="Q267" s="116"/>
      <c r="R267" s="115"/>
      <c r="S267" s="115"/>
      <c r="T267" s="106"/>
      <c r="U267" s="106"/>
      <c r="V267" s="106"/>
      <c r="W267" s="73"/>
      <c r="X267" s="73"/>
      <c r="Y267" s="73"/>
      <c r="Z267" s="73"/>
      <c r="AA267" s="112"/>
      <c r="AB267" s="129"/>
      <c r="AC267" s="106"/>
      <c r="AD267" s="106"/>
      <c r="AE267" s="2"/>
      <c r="AF267" s="2"/>
    </row>
    <row r="268" spans="1:32" outlineLevel="1">
      <c r="A268" s="106">
        <v>267</v>
      </c>
      <c r="B268" s="74" t="s">
        <v>1731</v>
      </c>
      <c r="C268" s="74" t="s">
        <v>1725</v>
      </c>
      <c r="D268" s="216"/>
      <c r="E268" s="226" t="s">
        <v>2188</v>
      </c>
      <c r="F268" s="218"/>
      <c r="G268" s="75"/>
      <c r="H268" s="75" t="s">
        <v>1733</v>
      </c>
      <c r="I268" s="75" t="s">
        <v>1734</v>
      </c>
      <c r="J268" s="76"/>
      <c r="K268" s="77" t="s">
        <v>1592</v>
      </c>
      <c r="L268" s="107"/>
      <c r="M268" s="108"/>
      <c r="N268" s="181"/>
      <c r="O268" s="119" t="s">
        <v>34</v>
      </c>
      <c r="P268" s="120">
        <v>46181</v>
      </c>
      <c r="Q268" s="173" t="s">
        <v>1566</v>
      </c>
      <c r="R268" s="109"/>
      <c r="S268" s="109"/>
      <c r="T268" s="106"/>
      <c r="U268" s="106"/>
      <c r="V268" s="106"/>
      <c r="W268" s="73" t="s">
        <v>2633</v>
      </c>
      <c r="X268" s="73">
        <v>1</v>
      </c>
      <c r="Y268" s="73">
        <v>1</v>
      </c>
      <c r="Z268" s="73"/>
      <c r="AA268" s="111" t="s">
        <v>102</v>
      </c>
      <c r="AB268" s="129"/>
      <c r="AC268" s="106"/>
      <c r="AD268" s="106"/>
      <c r="AE268" s="2"/>
      <c r="AF268" s="2"/>
    </row>
    <row r="269" spans="1:32" outlineLevel="1">
      <c r="A269" s="106">
        <v>268</v>
      </c>
      <c r="B269" s="74" t="s">
        <v>103</v>
      </c>
      <c r="C269" s="74" t="s">
        <v>1735</v>
      </c>
      <c r="D269" s="216"/>
      <c r="E269" s="226" t="s">
        <v>2189</v>
      </c>
      <c r="F269" s="218"/>
      <c r="G269" s="75"/>
      <c r="H269" s="75"/>
      <c r="I269" s="75" t="s">
        <v>1736</v>
      </c>
      <c r="J269" s="76"/>
      <c r="K269" s="77" t="s">
        <v>1592</v>
      </c>
      <c r="L269" s="107"/>
      <c r="M269" s="108"/>
      <c r="N269" s="181"/>
      <c r="O269" s="119" t="s">
        <v>34</v>
      </c>
      <c r="P269" s="120">
        <v>46181</v>
      </c>
      <c r="Q269" s="173" t="s">
        <v>1566</v>
      </c>
      <c r="R269" s="109"/>
      <c r="S269" s="109"/>
      <c r="T269" s="106"/>
      <c r="U269" s="106"/>
      <c r="V269" s="106"/>
      <c r="W269" s="73" t="s">
        <v>2629</v>
      </c>
      <c r="X269" s="73">
        <v>1</v>
      </c>
      <c r="Y269" s="73">
        <v>1</v>
      </c>
      <c r="Z269" s="73"/>
      <c r="AA269" s="112"/>
      <c r="AB269" s="129"/>
      <c r="AC269" s="106"/>
      <c r="AD269" s="106"/>
      <c r="AE269" s="2"/>
      <c r="AF269" s="2"/>
    </row>
    <row r="270" spans="1:32" outlineLevel="1">
      <c r="A270" s="106">
        <v>269</v>
      </c>
      <c r="B270" s="74" t="s">
        <v>104</v>
      </c>
      <c r="C270" s="74" t="s">
        <v>1735</v>
      </c>
      <c r="D270" s="216"/>
      <c r="E270" s="226" t="s">
        <v>2190</v>
      </c>
      <c r="F270" s="218"/>
      <c r="G270" s="75"/>
      <c r="H270" s="75"/>
      <c r="I270" s="75" t="s">
        <v>1737</v>
      </c>
      <c r="J270" s="76"/>
      <c r="K270" s="77" t="s">
        <v>2140</v>
      </c>
      <c r="L270" s="107"/>
      <c r="M270" s="108"/>
      <c r="N270" s="181"/>
      <c r="O270" s="119" t="s">
        <v>34</v>
      </c>
      <c r="P270" s="120">
        <v>46181</v>
      </c>
      <c r="Q270" s="173" t="s">
        <v>1566</v>
      </c>
      <c r="R270" s="109"/>
      <c r="S270" s="109"/>
      <c r="T270" s="106"/>
      <c r="U270" s="106"/>
      <c r="V270" s="106"/>
      <c r="W270" s="73" t="s">
        <v>2633</v>
      </c>
      <c r="X270" s="73">
        <v>1</v>
      </c>
      <c r="Y270" s="73">
        <v>1</v>
      </c>
      <c r="Z270" s="73"/>
      <c r="AA270" s="112"/>
      <c r="AB270" s="129"/>
      <c r="AC270" s="106"/>
      <c r="AD270" s="106"/>
      <c r="AE270" s="2"/>
      <c r="AF270" s="2"/>
    </row>
    <row r="271" spans="1:32" outlineLevel="1">
      <c r="A271" s="106">
        <v>270</v>
      </c>
      <c r="B271" s="74" t="s">
        <v>2191</v>
      </c>
      <c r="C271" s="74" t="s">
        <v>1735</v>
      </c>
      <c r="D271" s="216"/>
      <c r="E271" s="226" t="s">
        <v>2192</v>
      </c>
      <c r="F271" s="218"/>
      <c r="G271" s="75"/>
      <c r="H271" s="75"/>
      <c r="I271" s="75" t="s">
        <v>1740</v>
      </c>
      <c r="J271" s="76"/>
      <c r="K271" s="77" t="s">
        <v>1592</v>
      </c>
      <c r="L271" s="107"/>
      <c r="M271" s="108"/>
      <c r="N271" s="181"/>
      <c r="O271" s="119" t="s">
        <v>34</v>
      </c>
      <c r="P271" s="120">
        <v>46181</v>
      </c>
      <c r="Q271" s="173" t="s">
        <v>1566</v>
      </c>
      <c r="R271" s="109"/>
      <c r="S271" s="109"/>
      <c r="T271" s="106"/>
      <c r="U271" s="106"/>
      <c r="V271" s="106"/>
      <c r="W271" s="73" t="s">
        <v>2629</v>
      </c>
      <c r="X271" s="73">
        <v>1</v>
      </c>
      <c r="Y271" s="73">
        <v>1</v>
      </c>
      <c r="Z271" s="73"/>
      <c r="AA271" s="111" t="s">
        <v>105</v>
      </c>
      <c r="AB271" s="129"/>
      <c r="AC271" s="106"/>
      <c r="AD271" s="106"/>
      <c r="AE271" s="2"/>
      <c r="AF271" s="2"/>
    </row>
    <row r="272" spans="1:32" ht="24" outlineLevel="1">
      <c r="A272" s="106">
        <v>271</v>
      </c>
      <c r="B272" s="74" t="s">
        <v>1741</v>
      </c>
      <c r="C272" s="74" t="s">
        <v>1735</v>
      </c>
      <c r="D272" s="216"/>
      <c r="E272" s="226" t="s">
        <v>2193</v>
      </c>
      <c r="F272" s="218"/>
      <c r="G272" s="75"/>
      <c r="H272" s="75"/>
      <c r="I272" s="75" t="s">
        <v>1743</v>
      </c>
      <c r="J272" s="76"/>
      <c r="K272" s="77" t="s">
        <v>1592</v>
      </c>
      <c r="L272" s="107"/>
      <c r="M272" s="108"/>
      <c r="N272" s="181"/>
      <c r="O272" s="119" t="s">
        <v>34</v>
      </c>
      <c r="P272" s="120">
        <v>46181</v>
      </c>
      <c r="Q272" s="173" t="s">
        <v>1566</v>
      </c>
      <c r="R272" s="109"/>
      <c r="S272" s="109"/>
      <c r="T272" s="106"/>
      <c r="U272" s="106"/>
      <c r="V272" s="106"/>
      <c r="W272" s="73" t="s">
        <v>2630</v>
      </c>
      <c r="X272" s="73"/>
      <c r="Y272" s="73">
        <v>1</v>
      </c>
      <c r="Z272" s="73">
        <v>1</v>
      </c>
      <c r="AA272" s="111" t="s">
        <v>106</v>
      </c>
      <c r="AB272" s="129"/>
      <c r="AC272" s="106"/>
      <c r="AD272" s="106"/>
      <c r="AE272" s="2"/>
      <c r="AF272" s="2"/>
    </row>
    <row r="273" spans="1:32" outlineLevel="1">
      <c r="A273" s="106">
        <v>272</v>
      </c>
      <c r="B273" s="73"/>
      <c r="C273" s="73"/>
      <c r="D273" s="216"/>
      <c r="E273" s="75"/>
      <c r="F273" s="218"/>
      <c r="G273" s="75"/>
      <c r="H273" s="75"/>
      <c r="I273" s="75"/>
      <c r="J273" s="76" t="s">
        <v>1744</v>
      </c>
      <c r="K273" s="73"/>
      <c r="L273" s="113"/>
      <c r="M273" s="114"/>
      <c r="N273" s="182"/>
      <c r="O273" s="115"/>
      <c r="P273" s="115"/>
      <c r="Q273" s="116"/>
      <c r="R273" s="115"/>
      <c r="S273" s="115"/>
      <c r="T273" s="106"/>
      <c r="U273" s="106"/>
      <c r="V273" s="106"/>
      <c r="W273" s="73"/>
      <c r="X273" s="73"/>
      <c r="Y273" s="73"/>
      <c r="Z273" s="73"/>
      <c r="AA273" s="111" t="s">
        <v>107</v>
      </c>
      <c r="AB273" s="129"/>
      <c r="AC273" s="106"/>
      <c r="AD273" s="106"/>
      <c r="AE273" s="2"/>
      <c r="AF273" s="2"/>
    </row>
    <row r="274" spans="1:32" outlineLevel="1">
      <c r="A274" s="106">
        <v>273</v>
      </c>
      <c r="B274" s="73" t="s">
        <v>2007</v>
      </c>
      <c r="C274" s="87" t="s">
        <v>1883</v>
      </c>
      <c r="D274" s="216"/>
      <c r="E274" s="227" t="s">
        <v>2008</v>
      </c>
      <c r="F274" s="218" t="s">
        <v>2009</v>
      </c>
      <c r="G274" s="75"/>
      <c r="H274" s="75"/>
      <c r="I274" s="75"/>
      <c r="J274" s="76"/>
      <c r="K274" s="77" t="s">
        <v>1592</v>
      </c>
      <c r="L274" s="107"/>
      <c r="M274" s="108"/>
      <c r="N274" s="181">
        <v>46178</v>
      </c>
      <c r="O274" s="119" t="s">
        <v>34</v>
      </c>
      <c r="P274" s="120">
        <v>46181</v>
      </c>
      <c r="Q274" s="173" t="s">
        <v>1566</v>
      </c>
      <c r="R274" s="109"/>
      <c r="S274" s="109"/>
      <c r="T274" s="106"/>
      <c r="U274" s="106"/>
      <c r="V274" s="106"/>
      <c r="W274" s="76"/>
      <c r="X274" s="76"/>
      <c r="Y274" s="76"/>
      <c r="Z274" s="73"/>
      <c r="AA274" s="111" t="s">
        <v>351</v>
      </c>
      <c r="AB274" s="129"/>
      <c r="AC274" s="106"/>
      <c r="AD274" s="106"/>
      <c r="AE274" s="2"/>
      <c r="AF274" s="2"/>
    </row>
    <row r="275" spans="1:32" outlineLevel="1">
      <c r="A275" s="106">
        <v>274</v>
      </c>
      <c r="B275" s="73"/>
      <c r="C275" s="87" t="s">
        <v>1883</v>
      </c>
      <c r="D275" s="216"/>
      <c r="E275" s="75" t="s">
        <v>2194</v>
      </c>
      <c r="F275" s="218"/>
      <c r="G275" s="75" t="s">
        <v>2042</v>
      </c>
      <c r="H275" s="75"/>
      <c r="I275" s="75"/>
      <c r="J275" s="76"/>
      <c r="K275" s="73"/>
      <c r="L275" s="113"/>
      <c r="M275" s="114"/>
      <c r="N275" s="182"/>
      <c r="O275" s="115"/>
      <c r="P275" s="115"/>
      <c r="Q275" s="116"/>
      <c r="R275" s="115"/>
      <c r="S275" s="115"/>
      <c r="T275" s="106"/>
      <c r="U275" s="106"/>
      <c r="V275" s="106"/>
      <c r="W275" s="76"/>
      <c r="X275" s="76"/>
      <c r="Y275" s="76"/>
      <c r="Z275" s="73"/>
      <c r="AA275" s="112"/>
      <c r="AB275" s="129"/>
      <c r="AC275" s="106"/>
      <c r="AD275" s="106"/>
      <c r="AE275" s="2"/>
      <c r="AF275" s="2"/>
    </row>
    <row r="276" spans="1:32" outlineLevel="1">
      <c r="A276" s="106">
        <v>275</v>
      </c>
      <c r="B276" s="73" t="s">
        <v>2195</v>
      </c>
      <c r="C276" s="73" t="s">
        <v>1891</v>
      </c>
      <c r="D276" s="216"/>
      <c r="E276" s="227" t="s">
        <v>2196</v>
      </c>
      <c r="F276" s="218"/>
      <c r="G276" s="75"/>
      <c r="H276" s="75" t="s">
        <v>2045</v>
      </c>
      <c r="I276" s="75"/>
      <c r="J276" s="76"/>
      <c r="K276" s="77" t="s">
        <v>1592</v>
      </c>
      <c r="L276" s="107"/>
      <c r="M276" s="108"/>
      <c r="N276" s="181"/>
      <c r="O276" s="119" t="s">
        <v>34</v>
      </c>
      <c r="P276" s="120">
        <v>46181</v>
      </c>
      <c r="Q276" s="173" t="s">
        <v>1566</v>
      </c>
      <c r="R276" s="109"/>
      <c r="S276" s="109"/>
      <c r="T276" s="106"/>
      <c r="U276" s="106"/>
      <c r="V276" s="106"/>
      <c r="W276" s="73" t="s">
        <v>2629</v>
      </c>
      <c r="X276" s="73">
        <v>1</v>
      </c>
      <c r="Y276" s="73">
        <v>1</v>
      </c>
      <c r="Z276" s="73"/>
      <c r="AA276" s="111" t="s">
        <v>361</v>
      </c>
      <c r="AB276" s="129"/>
      <c r="AC276" s="106"/>
      <c r="AD276" s="106"/>
      <c r="AE276" s="2"/>
      <c r="AF276" s="2"/>
    </row>
    <row r="277" spans="1:32" outlineLevel="1">
      <c r="A277" s="106">
        <v>276</v>
      </c>
      <c r="B277" s="73" t="s">
        <v>2197</v>
      </c>
      <c r="C277" s="87" t="s">
        <v>1883</v>
      </c>
      <c r="D277" s="216"/>
      <c r="E277" s="227" t="s">
        <v>2198</v>
      </c>
      <c r="F277" s="218"/>
      <c r="G277" s="75"/>
      <c r="H277" s="75"/>
      <c r="I277" s="75" t="s">
        <v>2051</v>
      </c>
      <c r="J277" s="76"/>
      <c r="K277" s="73"/>
      <c r="L277" s="113"/>
      <c r="M277" s="114"/>
      <c r="N277" s="182"/>
      <c r="O277" s="115"/>
      <c r="P277" s="115"/>
      <c r="Q277" s="116"/>
      <c r="R277" s="115"/>
      <c r="S277" s="115"/>
      <c r="T277" s="106"/>
      <c r="U277" s="106"/>
      <c r="V277" s="106"/>
      <c r="W277" s="76"/>
      <c r="X277" s="76"/>
      <c r="Y277" s="76"/>
      <c r="Z277" s="73"/>
      <c r="AA277" s="111" t="s">
        <v>362</v>
      </c>
      <c r="AB277" s="129"/>
      <c r="AC277" s="106"/>
      <c r="AD277" s="106"/>
      <c r="AE277" s="2"/>
      <c r="AF277" s="2"/>
    </row>
    <row r="278" spans="1:32" outlineLevel="1">
      <c r="A278" s="106">
        <v>277</v>
      </c>
      <c r="B278" s="73" t="s">
        <v>2199</v>
      </c>
      <c r="C278" s="73" t="s">
        <v>1891</v>
      </c>
      <c r="D278" s="216"/>
      <c r="E278" s="226" t="s">
        <v>2200</v>
      </c>
      <c r="F278" s="218"/>
      <c r="G278" s="75"/>
      <c r="H278" s="75" t="s">
        <v>2056</v>
      </c>
      <c r="I278" s="75"/>
      <c r="J278" s="76"/>
      <c r="K278" s="77" t="s">
        <v>1592</v>
      </c>
      <c r="L278" s="107"/>
      <c r="M278" s="108"/>
      <c r="N278" s="181"/>
      <c r="O278" s="119" t="s">
        <v>34</v>
      </c>
      <c r="P278" s="120">
        <v>46181</v>
      </c>
      <c r="Q278" s="173" t="s">
        <v>1566</v>
      </c>
      <c r="R278" s="109"/>
      <c r="S278" s="109"/>
      <c r="T278" s="106"/>
      <c r="U278" s="106"/>
      <c r="V278" s="106"/>
      <c r="W278" s="73" t="s">
        <v>2628</v>
      </c>
      <c r="X278" s="73">
        <v>1</v>
      </c>
      <c r="Y278" s="73">
        <v>1</v>
      </c>
      <c r="Z278" s="73"/>
      <c r="AA278" s="112"/>
      <c r="AB278" s="129"/>
      <c r="AC278" s="106"/>
      <c r="AD278" s="106"/>
      <c r="AE278" s="2"/>
      <c r="AF278" s="2"/>
    </row>
    <row r="279" spans="1:32" outlineLevel="1">
      <c r="A279" s="106">
        <v>278</v>
      </c>
      <c r="B279" s="73" t="s">
        <v>2201</v>
      </c>
      <c r="C279" s="73" t="s">
        <v>1891</v>
      </c>
      <c r="D279" s="216"/>
      <c r="E279" s="226" t="s">
        <v>2202</v>
      </c>
      <c r="F279" s="218"/>
      <c r="G279" s="75"/>
      <c r="H279" s="75" t="s">
        <v>2203</v>
      </c>
      <c r="I279" s="75"/>
      <c r="J279" s="76"/>
      <c r="K279" s="77" t="s">
        <v>1592</v>
      </c>
      <c r="L279" s="107"/>
      <c r="M279" s="108"/>
      <c r="N279" s="181"/>
      <c r="O279" s="119" t="s">
        <v>34</v>
      </c>
      <c r="P279" s="120">
        <v>46181</v>
      </c>
      <c r="Q279" s="173" t="s">
        <v>1566</v>
      </c>
      <c r="R279" s="109"/>
      <c r="S279" s="109"/>
      <c r="T279" s="106"/>
      <c r="U279" s="106"/>
      <c r="V279" s="106"/>
      <c r="W279" s="73" t="s">
        <v>2633</v>
      </c>
      <c r="X279" s="73">
        <v>1</v>
      </c>
      <c r="Y279" s="73">
        <v>1</v>
      </c>
      <c r="Z279" s="73"/>
      <c r="AA279" s="112"/>
      <c r="AB279" s="129"/>
      <c r="AC279" s="106"/>
      <c r="AD279" s="106"/>
      <c r="AE279" s="2"/>
      <c r="AF279" s="2"/>
    </row>
    <row r="280" spans="1:32" outlineLevel="1">
      <c r="A280" s="106">
        <v>279</v>
      </c>
      <c r="B280" s="73"/>
      <c r="C280" s="76"/>
      <c r="D280" s="216"/>
      <c r="E280" s="229"/>
      <c r="F280" s="218"/>
      <c r="G280" s="75"/>
      <c r="H280" s="91" t="s">
        <v>2204</v>
      </c>
      <c r="I280" s="75"/>
      <c r="J280" s="76"/>
      <c r="K280" s="73"/>
      <c r="L280" s="113"/>
      <c r="M280" s="114"/>
      <c r="N280" s="182"/>
      <c r="O280" s="115"/>
      <c r="P280" s="115"/>
      <c r="Q280" s="116"/>
      <c r="R280" s="115"/>
      <c r="S280" s="115"/>
      <c r="T280" s="106"/>
      <c r="U280" s="106"/>
      <c r="V280" s="106"/>
      <c r="W280" s="76"/>
      <c r="X280" s="76"/>
      <c r="Y280" s="76"/>
      <c r="Z280" s="73"/>
      <c r="AA280" s="111" t="s">
        <v>363</v>
      </c>
      <c r="AB280" s="129"/>
      <c r="AC280" s="106"/>
      <c r="AD280" s="106"/>
      <c r="AE280" s="2"/>
      <c r="AF280" s="2"/>
    </row>
    <row r="281" spans="1:32" outlineLevel="1">
      <c r="A281" s="106">
        <v>280</v>
      </c>
      <c r="B281" s="73" t="s">
        <v>364</v>
      </c>
      <c r="C281" s="73" t="s">
        <v>1891</v>
      </c>
      <c r="D281" s="216"/>
      <c r="E281" s="215" t="s">
        <v>2205</v>
      </c>
      <c r="F281" s="218"/>
      <c r="G281" s="75"/>
      <c r="H281" s="75" t="s">
        <v>2206</v>
      </c>
      <c r="I281" s="75"/>
      <c r="J281" s="76"/>
      <c r="K281" s="77" t="s">
        <v>1592</v>
      </c>
      <c r="L281" s="107"/>
      <c r="M281" s="108"/>
      <c r="N281" s="181"/>
      <c r="O281" s="119" t="s">
        <v>34</v>
      </c>
      <c r="P281" s="120">
        <v>46181</v>
      </c>
      <c r="Q281" s="173" t="s">
        <v>1566</v>
      </c>
      <c r="R281" s="109"/>
      <c r="S281" s="109"/>
      <c r="T281" s="106"/>
      <c r="U281" s="106"/>
      <c r="V281" s="106"/>
      <c r="W281" s="73" t="s">
        <v>2629</v>
      </c>
      <c r="X281" s="73">
        <v>1</v>
      </c>
      <c r="Y281" s="73">
        <v>1</v>
      </c>
      <c r="Z281" s="73"/>
      <c r="AA281" s="111" t="s">
        <v>365</v>
      </c>
      <c r="AB281" s="129"/>
      <c r="AC281" s="106"/>
      <c r="AD281" s="106"/>
      <c r="AE281" s="2"/>
      <c r="AF281" s="2"/>
    </row>
    <row r="282" spans="1:32" outlineLevel="1">
      <c r="A282" s="106">
        <v>281</v>
      </c>
      <c r="B282" s="73" t="s">
        <v>2207</v>
      </c>
      <c r="C282" s="73" t="s">
        <v>1891</v>
      </c>
      <c r="D282" s="216"/>
      <c r="E282" s="226" t="s">
        <v>2208</v>
      </c>
      <c r="F282" s="218"/>
      <c r="G282" s="75"/>
      <c r="H282" s="75"/>
      <c r="I282" s="75" t="s">
        <v>2209</v>
      </c>
      <c r="J282" s="76"/>
      <c r="K282" s="77" t="s">
        <v>1592</v>
      </c>
      <c r="L282" s="107"/>
      <c r="M282" s="108"/>
      <c r="N282" s="181"/>
      <c r="O282" s="119" t="s">
        <v>34</v>
      </c>
      <c r="P282" s="120">
        <v>46181</v>
      </c>
      <c r="Q282" s="173" t="s">
        <v>1566</v>
      </c>
      <c r="R282" s="109"/>
      <c r="S282" s="109"/>
      <c r="T282" s="106"/>
      <c r="U282" s="106"/>
      <c r="V282" s="106"/>
      <c r="W282" s="73" t="s">
        <v>2630</v>
      </c>
      <c r="X282" s="73"/>
      <c r="Y282" s="73">
        <v>1</v>
      </c>
      <c r="Z282" s="73">
        <v>1</v>
      </c>
      <c r="AA282" s="111" t="s">
        <v>366</v>
      </c>
      <c r="AB282" s="129"/>
      <c r="AC282" s="106"/>
      <c r="AD282" s="106"/>
      <c r="AE282" s="2"/>
      <c r="AF282" s="2"/>
    </row>
    <row r="283" spans="1:32" outlineLevel="1">
      <c r="A283" s="106">
        <v>282</v>
      </c>
      <c r="B283" s="73" t="s">
        <v>367</v>
      </c>
      <c r="C283" s="73" t="s">
        <v>1891</v>
      </c>
      <c r="D283" s="216"/>
      <c r="E283" s="226" t="s">
        <v>2210</v>
      </c>
      <c r="F283" s="218"/>
      <c r="G283" s="75"/>
      <c r="H283" s="75"/>
      <c r="I283" s="75" t="s">
        <v>2211</v>
      </c>
      <c r="J283" s="76"/>
      <c r="K283" s="77" t="s">
        <v>1592</v>
      </c>
      <c r="L283" s="107"/>
      <c r="M283" s="108"/>
      <c r="N283" s="181"/>
      <c r="O283" s="119" t="s">
        <v>34</v>
      </c>
      <c r="P283" s="120">
        <v>46181</v>
      </c>
      <c r="Q283" s="173" t="s">
        <v>1566</v>
      </c>
      <c r="R283" s="109"/>
      <c r="S283" s="109"/>
      <c r="T283" s="106"/>
      <c r="U283" s="106"/>
      <c r="V283" s="106"/>
      <c r="W283" s="73" t="s">
        <v>2632</v>
      </c>
      <c r="X283" s="73"/>
      <c r="Y283" s="73">
        <v>1</v>
      </c>
      <c r="Z283" s="73">
        <v>1</v>
      </c>
      <c r="AA283" s="112"/>
      <c r="AB283" s="129"/>
      <c r="AC283" s="106"/>
      <c r="AD283" s="106"/>
      <c r="AE283" s="2"/>
      <c r="AF283" s="2"/>
    </row>
    <row r="284" spans="1:32" ht="24" outlineLevel="1">
      <c r="A284" s="106">
        <v>283</v>
      </c>
      <c r="B284" s="73" t="s">
        <v>368</v>
      </c>
      <c r="C284" s="73" t="s">
        <v>1891</v>
      </c>
      <c r="D284" s="216"/>
      <c r="E284" s="231" t="s">
        <v>2212</v>
      </c>
      <c r="F284" s="218"/>
      <c r="G284" s="75"/>
      <c r="H284" s="75" t="s">
        <v>2213</v>
      </c>
      <c r="I284" s="75"/>
      <c r="J284" s="76"/>
      <c r="K284" s="77" t="s">
        <v>1592</v>
      </c>
      <c r="L284" s="107"/>
      <c r="M284" s="108"/>
      <c r="N284" s="181"/>
      <c r="O284" s="119" t="s">
        <v>34</v>
      </c>
      <c r="P284" s="120">
        <v>46181</v>
      </c>
      <c r="Q284" s="173" t="s">
        <v>1566</v>
      </c>
      <c r="R284" s="109"/>
      <c r="S284" s="109"/>
      <c r="T284" s="106"/>
      <c r="U284" s="106"/>
      <c r="V284" s="106"/>
      <c r="W284" s="73" t="s">
        <v>2633</v>
      </c>
      <c r="X284" s="73">
        <v>1</v>
      </c>
      <c r="Y284" s="73">
        <v>1</v>
      </c>
      <c r="Z284" s="73"/>
      <c r="AA284" s="111" t="s">
        <v>355</v>
      </c>
      <c r="AB284" s="129"/>
      <c r="AC284" s="106"/>
      <c r="AD284" s="106"/>
      <c r="AE284" s="2"/>
      <c r="AF284" s="2"/>
    </row>
    <row r="285" spans="1:32" outlineLevel="1">
      <c r="A285" s="106">
        <v>284</v>
      </c>
      <c r="B285" s="73" t="s">
        <v>2110</v>
      </c>
      <c r="C285" s="87" t="s">
        <v>2214</v>
      </c>
      <c r="D285" s="216"/>
      <c r="E285" s="215" t="s">
        <v>2111</v>
      </c>
      <c r="F285" s="218"/>
      <c r="G285" s="75"/>
      <c r="H285" s="75" t="s">
        <v>2040</v>
      </c>
      <c r="I285" s="75"/>
      <c r="J285" s="76"/>
      <c r="K285" s="73"/>
      <c r="L285" s="113"/>
      <c r="M285" s="114"/>
      <c r="N285" s="182"/>
      <c r="O285" s="115"/>
      <c r="P285" s="115"/>
      <c r="Q285" s="116"/>
      <c r="R285" s="115"/>
      <c r="S285" s="115"/>
      <c r="T285" s="106"/>
      <c r="U285" s="106"/>
      <c r="V285" s="106"/>
      <c r="W285" s="76"/>
      <c r="X285" s="76"/>
      <c r="Y285" s="76"/>
      <c r="Z285" s="73"/>
      <c r="AA285" s="112"/>
      <c r="AB285" s="129"/>
      <c r="AC285" s="106"/>
      <c r="AD285" s="106"/>
      <c r="AE285" s="2"/>
      <c r="AF285" s="2"/>
    </row>
    <row r="286" spans="1:32" outlineLevel="1">
      <c r="A286" s="106">
        <v>285</v>
      </c>
      <c r="B286" s="73"/>
      <c r="C286" s="73"/>
      <c r="D286" s="216"/>
      <c r="E286" s="75" t="s">
        <v>2215</v>
      </c>
      <c r="F286" s="218"/>
      <c r="G286" s="75" t="s">
        <v>2216</v>
      </c>
      <c r="H286" s="75"/>
      <c r="I286" s="75"/>
      <c r="J286" s="76"/>
      <c r="K286" s="73"/>
      <c r="L286" s="113"/>
      <c r="M286" s="114"/>
      <c r="N286" s="182"/>
      <c r="O286" s="115"/>
      <c r="P286" s="115"/>
      <c r="Q286" s="116"/>
      <c r="R286" s="115"/>
      <c r="S286" s="115"/>
      <c r="T286" s="106"/>
      <c r="U286" s="106"/>
      <c r="V286" s="106"/>
      <c r="W286" s="76"/>
      <c r="X286" s="76"/>
      <c r="Y286" s="76"/>
      <c r="Z286" s="73"/>
      <c r="AA286" s="112"/>
      <c r="AB286" s="129"/>
      <c r="AC286" s="106"/>
      <c r="AD286" s="106"/>
      <c r="AE286" s="2"/>
      <c r="AF286" s="2"/>
    </row>
    <row r="287" spans="1:32" outlineLevel="1">
      <c r="A287" s="106">
        <v>286</v>
      </c>
      <c r="B287" s="73" t="s">
        <v>2217</v>
      </c>
      <c r="C287" s="73" t="s">
        <v>1891</v>
      </c>
      <c r="D287" s="216"/>
      <c r="E287" s="226" t="s">
        <v>2218</v>
      </c>
      <c r="F287" s="218"/>
      <c r="G287" s="75"/>
      <c r="H287" s="75" t="s">
        <v>2219</v>
      </c>
      <c r="I287" s="75"/>
      <c r="J287" s="76"/>
      <c r="K287" s="77" t="s">
        <v>1592</v>
      </c>
      <c r="L287" s="107"/>
      <c r="M287" s="108"/>
      <c r="N287" s="181"/>
      <c r="O287" s="119" t="s">
        <v>34</v>
      </c>
      <c r="P287" s="120">
        <v>46181</v>
      </c>
      <c r="Q287" s="173" t="s">
        <v>1566</v>
      </c>
      <c r="R287" s="109"/>
      <c r="S287" s="109"/>
      <c r="T287" s="106"/>
      <c r="U287" s="106"/>
      <c r="V287" s="106"/>
      <c r="W287" s="73" t="s">
        <v>2633</v>
      </c>
      <c r="X287" s="73">
        <v>1</v>
      </c>
      <c r="Y287" s="73">
        <v>1</v>
      </c>
      <c r="Z287" s="73"/>
      <c r="AA287" s="112"/>
      <c r="AB287" s="129"/>
      <c r="AC287" s="106"/>
      <c r="AD287" s="106"/>
      <c r="AE287" s="2"/>
      <c r="AF287" s="2"/>
    </row>
    <row r="288" spans="1:32" ht="22.5" outlineLevel="1">
      <c r="A288" s="106">
        <v>287</v>
      </c>
      <c r="B288" s="73" t="s">
        <v>369</v>
      </c>
      <c r="C288" s="73" t="s">
        <v>1891</v>
      </c>
      <c r="D288" s="216"/>
      <c r="E288" s="226" t="s">
        <v>2220</v>
      </c>
      <c r="F288" s="218"/>
      <c r="G288" s="75"/>
      <c r="H288" s="75" t="s">
        <v>2221</v>
      </c>
      <c r="I288" s="75"/>
      <c r="J288" s="76"/>
      <c r="K288" s="77" t="s">
        <v>1592</v>
      </c>
      <c r="L288" s="107"/>
      <c r="M288" s="108"/>
      <c r="N288" s="181"/>
      <c r="O288" s="119" t="s">
        <v>34</v>
      </c>
      <c r="P288" s="120">
        <v>46181</v>
      </c>
      <c r="Q288" s="173" t="s">
        <v>1566</v>
      </c>
      <c r="R288" s="109"/>
      <c r="S288" s="109"/>
      <c r="T288" s="106"/>
      <c r="U288" s="106"/>
      <c r="V288" s="106"/>
      <c r="W288" s="73" t="s">
        <v>2629</v>
      </c>
      <c r="X288" s="73">
        <v>1</v>
      </c>
      <c r="Y288" s="73">
        <v>1</v>
      </c>
      <c r="Z288" s="73"/>
      <c r="AA288" s="112"/>
      <c r="AB288" s="129"/>
      <c r="AC288" s="106"/>
      <c r="AD288" s="106"/>
      <c r="AE288" s="2"/>
      <c r="AF288" s="2"/>
    </row>
    <row r="289" spans="1:32" ht="22.5" outlineLevel="1">
      <c r="A289" s="106">
        <v>288</v>
      </c>
      <c r="B289" s="73" t="s">
        <v>370</v>
      </c>
      <c r="C289" s="73" t="s">
        <v>1891</v>
      </c>
      <c r="D289" s="216"/>
      <c r="E289" s="226" t="s">
        <v>2222</v>
      </c>
      <c r="F289" s="218"/>
      <c r="G289" s="75"/>
      <c r="H289" s="75" t="s">
        <v>2223</v>
      </c>
      <c r="I289" s="75"/>
      <c r="J289" s="76"/>
      <c r="K289" s="77" t="s">
        <v>1592</v>
      </c>
      <c r="L289" s="107"/>
      <c r="M289" s="108"/>
      <c r="N289" s="181"/>
      <c r="O289" s="119" t="s">
        <v>34</v>
      </c>
      <c r="P289" s="120">
        <v>46181</v>
      </c>
      <c r="Q289" s="173" t="s">
        <v>1566</v>
      </c>
      <c r="R289" s="109"/>
      <c r="S289" s="109"/>
      <c r="T289" s="106"/>
      <c r="U289" s="106"/>
      <c r="V289" s="106"/>
      <c r="W289" s="73" t="s">
        <v>2634</v>
      </c>
      <c r="X289" s="73">
        <v>1</v>
      </c>
      <c r="Y289" s="73">
        <v>1</v>
      </c>
      <c r="Z289" s="73"/>
      <c r="AA289" s="112"/>
      <c r="AB289" s="129"/>
      <c r="AC289" s="106"/>
      <c r="AD289" s="106"/>
      <c r="AE289" s="2"/>
      <c r="AF289" s="2"/>
    </row>
    <row r="290" spans="1:32" outlineLevel="1">
      <c r="A290" s="106">
        <v>289</v>
      </c>
      <c r="B290" s="73" t="s">
        <v>371</v>
      </c>
      <c r="C290" s="73" t="s">
        <v>1891</v>
      </c>
      <c r="D290" s="216"/>
      <c r="E290" s="227" t="s">
        <v>2224</v>
      </c>
      <c r="F290" s="218"/>
      <c r="G290" s="75"/>
      <c r="H290" s="75" t="s">
        <v>2225</v>
      </c>
      <c r="I290" s="75"/>
      <c r="J290" s="76"/>
      <c r="K290" s="77" t="s">
        <v>1592</v>
      </c>
      <c r="L290" s="107"/>
      <c r="M290" s="108"/>
      <c r="N290" s="181"/>
      <c r="O290" s="119" t="s">
        <v>34</v>
      </c>
      <c r="P290" s="120">
        <v>46181</v>
      </c>
      <c r="Q290" s="173" t="s">
        <v>1566</v>
      </c>
      <c r="R290" s="109"/>
      <c r="S290" s="109"/>
      <c r="T290" s="106"/>
      <c r="U290" s="106"/>
      <c r="V290" s="106"/>
      <c r="W290" s="73" t="s">
        <v>2629</v>
      </c>
      <c r="X290" s="73">
        <v>1</v>
      </c>
      <c r="Y290" s="73">
        <v>1</v>
      </c>
      <c r="Z290" s="73"/>
      <c r="AA290" s="112"/>
      <c r="AB290" s="129"/>
      <c r="AC290" s="106"/>
      <c r="AD290" s="106"/>
      <c r="AE290" s="2"/>
      <c r="AF290" s="2"/>
    </row>
    <row r="291" spans="1:32" outlineLevel="1">
      <c r="A291" s="106">
        <v>290</v>
      </c>
      <c r="B291" s="73" t="s">
        <v>2226</v>
      </c>
      <c r="C291" s="73" t="s">
        <v>1891</v>
      </c>
      <c r="D291" s="216"/>
      <c r="E291" s="226" t="s">
        <v>2227</v>
      </c>
      <c r="F291" s="218"/>
      <c r="G291" s="75"/>
      <c r="H291" s="75"/>
      <c r="I291" s="75" t="s">
        <v>2228</v>
      </c>
      <c r="J291" s="76"/>
      <c r="K291" s="77" t="s">
        <v>1592</v>
      </c>
      <c r="L291" s="107"/>
      <c r="M291" s="108"/>
      <c r="N291" s="181"/>
      <c r="O291" s="119" t="s">
        <v>34</v>
      </c>
      <c r="P291" s="120">
        <v>46181</v>
      </c>
      <c r="Q291" s="173" t="s">
        <v>1566</v>
      </c>
      <c r="R291" s="109"/>
      <c r="S291" s="109"/>
      <c r="T291" s="106"/>
      <c r="U291" s="106"/>
      <c r="V291" s="106"/>
      <c r="W291" s="73" t="s">
        <v>2635</v>
      </c>
      <c r="X291" s="73"/>
      <c r="Y291" s="73">
        <v>1</v>
      </c>
      <c r="Z291" s="73">
        <v>1</v>
      </c>
      <c r="AA291" s="111" t="s">
        <v>372</v>
      </c>
      <c r="AB291" s="129"/>
      <c r="AC291" s="106"/>
      <c r="AD291" s="106"/>
      <c r="AE291" s="2"/>
      <c r="AF291" s="2"/>
    </row>
    <row r="292" spans="1:32" outlineLevel="1">
      <c r="A292" s="106">
        <v>291</v>
      </c>
      <c r="B292" s="73" t="s">
        <v>2229</v>
      </c>
      <c r="C292" s="73" t="s">
        <v>1891</v>
      </c>
      <c r="D292" s="216"/>
      <c r="E292" s="226" t="s">
        <v>2230</v>
      </c>
      <c r="F292" s="218"/>
      <c r="G292" s="75"/>
      <c r="H292" s="75"/>
      <c r="I292" s="75" t="s">
        <v>2231</v>
      </c>
      <c r="J292" s="76"/>
      <c r="K292" s="77" t="s">
        <v>1592</v>
      </c>
      <c r="L292" s="107"/>
      <c r="M292" s="108"/>
      <c r="N292" s="181"/>
      <c r="O292" s="119" t="s">
        <v>34</v>
      </c>
      <c r="P292" s="120">
        <v>46181</v>
      </c>
      <c r="Q292" s="173" t="s">
        <v>1566</v>
      </c>
      <c r="R292" s="109"/>
      <c r="S292" s="109"/>
      <c r="T292" s="106"/>
      <c r="U292" s="106"/>
      <c r="V292" s="106"/>
      <c r="W292" s="73" t="s">
        <v>2635</v>
      </c>
      <c r="X292" s="73"/>
      <c r="Y292" s="73">
        <v>1</v>
      </c>
      <c r="Z292" s="73">
        <v>1</v>
      </c>
      <c r="AA292" s="112"/>
      <c r="AB292" s="129"/>
      <c r="AC292" s="106"/>
      <c r="AD292" s="106"/>
      <c r="AE292" s="2"/>
      <c r="AF292" s="2"/>
    </row>
    <row r="293" spans="1:32" outlineLevel="1">
      <c r="A293" s="106">
        <v>292</v>
      </c>
      <c r="B293" s="73"/>
      <c r="C293" s="73"/>
      <c r="D293" s="216"/>
      <c r="E293" s="226" t="s">
        <v>2232</v>
      </c>
      <c r="F293" s="218"/>
      <c r="G293" s="75" t="s">
        <v>2233</v>
      </c>
      <c r="H293" s="75"/>
      <c r="I293" s="75"/>
      <c r="J293" s="76"/>
      <c r="K293" s="73"/>
      <c r="L293" s="113"/>
      <c r="M293" s="114"/>
      <c r="N293" s="182"/>
      <c r="O293" s="115"/>
      <c r="P293" s="115"/>
      <c r="Q293" s="116"/>
      <c r="R293" s="115"/>
      <c r="S293" s="115"/>
      <c r="T293" s="106"/>
      <c r="U293" s="106"/>
      <c r="V293" s="106"/>
      <c r="W293" s="76"/>
      <c r="X293" s="76"/>
      <c r="Y293" s="76"/>
      <c r="Z293" s="73"/>
      <c r="AA293" s="112"/>
      <c r="AB293" s="129"/>
      <c r="AC293" s="106"/>
      <c r="AD293" s="106"/>
      <c r="AE293" s="2"/>
      <c r="AF293" s="2"/>
    </row>
    <row r="294" spans="1:32" outlineLevel="1">
      <c r="A294" s="106">
        <v>293</v>
      </c>
      <c r="B294" s="73" t="s">
        <v>2234</v>
      </c>
      <c r="C294" s="73" t="s">
        <v>1891</v>
      </c>
      <c r="D294" s="216"/>
      <c r="E294" s="226" t="s">
        <v>2232</v>
      </c>
      <c r="F294" s="218"/>
      <c r="G294" s="75"/>
      <c r="H294" s="75" t="s">
        <v>2056</v>
      </c>
      <c r="I294" s="75"/>
      <c r="J294" s="76"/>
      <c r="K294" s="77" t="s">
        <v>1592</v>
      </c>
      <c r="L294" s="107"/>
      <c r="M294" s="108"/>
      <c r="N294" s="181"/>
      <c r="O294" s="119" t="s">
        <v>34</v>
      </c>
      <c r="P294" s="120">
        <v>46181</v>
      </c>
      <c r="Q294" s="173" t="s">
        <v>1566</v>
      </c>
      <c r="R294" s="109"/>
      <c r="S294" s="109"/>
      <c r="T294" s="106"/>
      <c r="U294" s="106"/>
      <c r="V294" s="106"/>
      <c r="W294" s="73" t="s">
        <v>2631</v>
      </c>
      <c r="X294" s="73">
        <v>1</v>
      </c>
      <c r="Y294" s="73">
        <v>1</v>
      </c>
      <c r="Z294" s="73"/>
      <c r="AA294" s="112"/>
      <c r="AB294" s="129"/>
      <c r="AC294" s="106"/>
      <c r="AD294" s="106"/>
      <c r="AE294" s="2"/>
      <c r="AF294" s="2"/>
    </row>
    <row r="295" spans="1:32" ht="24" outlineLevel="1">
      <c r="A295" s="106">
        <v>294</v>
      </c>
      <c r="B295" s="73" t="s">
        <v>374</v>
      </c>
      <c r="C295" s="73" t="s">
        <v>1891</v>
      </c>
      <c r="D295" s="216"/>
      <c r="E295" s="226" t="s">
        <v>2235</v>
      </c>
      <c r="F295" s="218"/>
      <c r="G295" s="75"/>
      <c r="H295" s="75" t="s">
        <v>2236</v>
      </c>
      <c r="I295" s="75"/>
      <c r="J295" s="76"/>
      <c r="K295" s="77" t="s">
        <v>1592</v>
      </c>
      <c r="L295" s="107" t="s">
        <v>25</v>
      </c>
      <c r="M295" s="108"/>
      <c r="N295" s="181"/>
      <c r="O295" s="119" t="s">
        <v>34</v>
      </c>
      <c r="P295" s="120">
        <v>46181</v>
      </c>
      <c r="Q295" s="173" t="s">
        <v>1566</v>
      </c>
      <c r="R295" s="109"/>
      <c r="S295" s="109"/>
      <c r="T295" s="106"/>
      <c r="U295" s="106"/>
      <c r="V295" s="106"/>
      <c r="W295" s="73" t="s">
        <v>2629</v>
      </c>
      <c r="X295" s="73">
        <v>1</v>
      </c>
      <c r="Y295" s="73">
        <v>1</v>
      </c>
      <c r="Z295" s="73"/>
      <c r="AA295" s="112"/>
      <c r="AB295" s="129"/>
      <c r="AC295" s="106"/>
      <c r="AD295" s="106"/>
      <c r="AE295" s="2"/>
      <c r="AF295" s="2"/>
    </row>
    <row r="296" spans="1:32" ht="24" outlineLevel="1">
      <c r="A296" s="106">
        <v>295</v>
      </c>
      <c r="B296" s="73" t="s">
        <v>375</v>
      </c>
      <c r="C296" s="73" t="s">
        <v>1891</v>
      </c>
      <c r="D296" s="216"/>
      <c r="E296" s="226" t="s">
        <v>2235</v>
      </c>
      <c r="F296" s="218"/>
      <c r="G296" s="75"/>
      <c r="H296" s="75" t="s">
        <v>2237</v>
      </c>
      <c r="I296" s="75"/>
      <c r="J296" s="76"/>
      <c r="K296" s="77" t="s">
        <v>1592</v>
      </c>
      <c r="L296" s="107"/>
      <c r="M296" s="108"/>
      <c r="N296" s="181"/>
      <c r="O296" s="119" t="s">
        <v>34</v>
      </c>
      <c r="P296" s="120">
        <v>46181</v>
      </c>
      <c r="Q296" s="173" t="s">
        <v>1566</v>
      </c>
      <c r="R296" s="109"/>
      <c r="S296" s="109"/>
      <c r="T296" s="106"/>
      <c r="U296" s="106"/>
      <c r="V296" s="106"/>
      <c r="W296" s="73" t="s">
        <v>2633</v>
      </c>
      <c r="X296" s="73">
        <v>1</v>
      </c>
      <c r="Y296" s="73">
        <v>1</v>
      </c>
      <c r="Z296" s="73"/>
      <c r="AA296" s="112"/>
      <c r="AB296" s="129"/>
      <c r="AC296" s="106"/>
      <c r="AD296" s="106"/>
      <c r="AE296" s="2"/>
      <c r="AF296" s="2"/>
    </row>
    <row r="297" spans="1:32" outlineLevel="1">
      <c r="A297" s="106">
        <v>296</v>
      </c>
      <c r="B297" s="73" t="s">
        <v>376</v>
      </c>
      <c r="C297" s="73" t="s">
        <v>1891</v>
      </c>
      <c r="D297" s="216"/>
      <c r="E297" s="226" t="s">
        <v>2238</v>
      </c>
      <c r="F297" s="218"/>
      <c r="G297" s="75"/>
      <c r="H297" s="75" t="s">
        <v>2239</v>
      </c>
      <c r="I297" s="75"/>
      <c r="J297" s="76"/>
      <c r="K297" s="77" t="s">
        <v>1592</v>
      </c>
      <c r="L297" s="107"/>
      <c r="M297" s="108"/>
      <c r="N297" s="181"/>
      <c r="O297" s="119" t="s">
        <v>34</v>
      </c>
      <c r="P297" s="120">
        <v>46181</v>
      </c>
      <c r="Q297" s="173" t="s">
        <v>1566</v>
      </c>
      <c r="R297" s="109"/>
      <c r="S297" s="109"/>
      <c r="T297" s="106"/>
      <c r="U297" s="106"/>
      <c r="V297" s="106"/>
      <c r="W297" s="73" t="s">
        <v>2628</v>
      </c>
      <c r="X297" s="73">
        <v>1</v>
      </c>
      <c r="Y297" s="73">
        <v>1</v>
      </c>
      <c r="Z297" s="73"/>
      <c r="AA297" s="112"/>
      <c r="AB297" s="129"/>
      <c r="AC297" s="106"/>
      <c r="AD297" s="106"/>
      <c r="AE297" s="2"/>
      <c r="AF297" s="2"/>
    </row>
    <row r="298" spans="1:32" outlineLevel="1">
      <c r="A298" s="106">
        <v>297</v>
      </c>
      <c r="B298" s="73" t="s">
        <v>2110</v>
      </c>
      <c r="C298" s="87" t="s">
        <v>1883</v>
      </c>
      <c r="D298" s="216"/>
      <c r="E298" s="75"/>
      <c r="F298" s="218"/>
      <c r="G298" s="75"/>
      <c r="H298" s="75" t="s">
        <v>2040</v>
      </c>
      <c r="I298" s="75"/>
      <c r="J298" s="76"/>
      <c r="K298" s="73"/>
      <c r="L298" s="107" t="s">
        <v>25</v>
      </c>
      <c r="M298" s="114"/>
      <c r="N298" s="182"/>
      <c r="O298" s="119" t="s">
        <v>34</v>
      </c>
      <c r="P298" s="120">
        <v>46181</v>
      </c>
      <c r="Q298" s="116"/>
      <c r="R298" s="115"/>
      <c r="S298" s="115"/>
      <c r="T298" s="106"/>
      <c r="U298" s="106"/>
      <c r="V298" s="106"/>
      <c r="W298" s="76"/>
      <c r="X298" s="76"/>
      <c r="Y298" s="76"/>
      <c r="Z298" s="73"/>
      <c r="AA298" s="112"/>
      <c r="AB298" s="129"/>
      <c r="AC298" s="106"/>
      <c r="AD298" s="106"/>
      <c r="AE298" s="2"/>
      <c r="AF298" s="2"/>
    </row>
    <row r="299" spans="1:32" outlineLevel="1">
      <c r="A299" s="106">
        <v>298</v>
      </c>
      <c r="B299" s="73"/>
      <c r="C299" s="73"/>
      <c r="D299" s="216"/>
      <c r="E299" s="227" t="s">
        <v>2240</v>
      </c>
      <c r="F299" s="218"/>
      <c r="G299" s="75" t="s">
        <v>2241</v>
      </c>
      <c r="H299" s="75"/>
      <c r="I299" s="75"/>
      <c r="J299" s="76"/>
      <c r="K299" s="73"/>
      <c r="L299" s="113"/>
      <c r="M299" s="114"/>
      <c r="N299" s="182"/>
      <c r="O299" s="115"/>
      <c r="P299" s="115"/>
      <c r="Q299" s="116"/>
      <c r="R299" s="115"/>
      <c r="S299" s="115"/>
      <c r="T299" s="106"/>
      <c r="U299" s="106"/>
      <c r="V299" s="106"/>
      <c r="W299" s="76"/>
      <c r="X299" s="76"/>
      <c r="Y299" s="76"/>
      <c r="Z299" s="73"/>
      <c r="AA299" s="112"/>
      <c r="AB299" s="129"/>
      <c r="AC299" s="106"/>
      <c r="AD299" s="106"/>
      <c r="AE299" s="2"/>
      <c r="AF299" s="2"/>
    </row>
    <row r="300" spans="1:32" outlineLevel="1">
      <c r="A300" s="106">
        <v>299</v>
      </c>
      <c r="B300" s="73" t="s">
        <v>2242</v>
      </c>
      <c r="C300" s="73" t="s">
        <v>1891</v>
      </c>
      <c r="D300" s="216"/>
      <c r="E300" s="226" t="s">
        <v>2240</v>
      </c>
      <c r="F300" s="218"/>
      <c r="G300" s="75"/>
      <c r="H300" s="75" t="s">
        <v>2219</v>
      </c>
      <c r="I300" s="75"/>
      <c r="J300" s="76"/>
      <c r="K300" s="77" t="s">
        <v>1592</v>
      </c>
      <c r="L300" s="107"/>
      <c r="M300" s="108"/>
      <c r="N300" s="181"/>
      <c r="O300" s="119" t="s">
        <v>34</v>
      </c>
      <c r="P300" s="120">
        <v>46181</v>
      </c>
      <c r="Q300" s="173" t="s">
        <v>1566</v>
      </c>
      <c r="R300" s="109"/>
      <c r="S300" s="109"/>
      <c r="T300" s="106"/>
      <c r="U300" s="106"/>
      <c r="V300" s="106"/>
      <c r="W300" s="73" t="s">
        <v>2634</v>
      </c>
      <c r="X300" s="73">
        <v>1</v>
      </c>
      <c r="Y300" s="73">
        <v>1</v>
      </c>
      <c r="Z300" s="73"/>
      <c r="AA300" s="112"/>
      <c r="AB300" s="129"/>
      <c r="AC300" s="106"/>
      <c r="AD300" s="106"/>
      <c r="AE300" s="2"/>
      <c r="AF300" s="2"/>
    </row>
    <row r="301" spans="1:32" outlineLevel="1">
      <c r="A301" s="106">
        <v>300</v>
      </c>
      <c r="B301" s="73" t="s">
        <v>377</v>
      </c>
      <c r="C301" s="73"/>
      <c r="D301" s="216"/>
      <c r="E301" s="226" t="s">
        <v>2243</v>
      </c>
      <c r="F301" s="218"/>
      <c r="G301" s="75"/>
      <c r="H301" s="75" t="s">
        <v>2221</v>
      </c>
      <c r="I301" s="75"/>
      <c r="J301" s="76"/>
      <c r="K301" s="77" t="s">
        <v>1592</v>
      </c>
      <c r="L301" s="107"/>
      <c r="M301" s="108"/>
      <c r="N301" s="181"/>
      <c r="O301" s="119" t="s">
        <v>34</v>
      </c>
      <c r="P301" s="120">
        <v>46181</v>
      </c>
      <c r="Q301" s="173" t="s">
        <v>1566</v>
      </c>
      <c r="R301" s="109"/>
      <c r="S301" s="109"/>
      <c r="T301" s="106"/>
      <c r="U301" s="106"/>
      <c r="V301" s="106"/>
      <c r="W301" s="73" t="s">
        <v>2629</v>
      </c>
      <c r="X301" s="73">
        <v>1</v>
      </c>
      <c r="Y301" s="73">
        <v>1</v>
      </c>
      <c r="Z301" s="73"/>
      <c r="AA301" s="112"/>
      <c r="AB301" s="129"/>
      <c r="AC301" s="106"/>
      <c r="AD301" s="106"/>
      <c r="AE301" s="2"/>
      <c r="AF301" s="2"/>
    </row>
    <row r="302" spans="1:32" ht="24" outlineLevel="1">
      <c r="A302" s="106">
        <v>301</v>
      </c>
      <c r="B302" s="73" t="s">
        <v>378</v>
      </c>
      <c r="C302" s="73" t="s">
        <v>1891</v>
      </c>
      <c r="D302" s="216"/>
      <c r="E302" s="226" t="s">
        <v>2244</v>
      </c>
      <c r="F302" s="218"/>
      <c r="G302" s="75"/>
      <c r="H302" s="75" t="s">
        <v>2245</v>
      </c>
      <c r="I302" s="75"/>
      <c r="J302" s="76"/>
      <c r="K302" s="77" t="s">
        <v>1592</v>
      </c>
      <c r="L302" s="107"/>
      <c r="M302" s="108"/>
      <c r="N302" s="181"/>
      <c r="O302" s="119" t="s">
        <v>34</v>
      </c>
      <c r="P302" s="120">
        <v>46181</v>
      </c>
      <c r="Q302" s="173" t="s">
        <v>1566</v>
      </c>
      <c r="R302" s="109"/>
      <c r="S302" s="109"/>
      <c r="T302" s="106"/>
      <c r="U302" s="106"/>
      <c r="V302" s="106"/>
      <c r="W302" s="73" t="s">
        <v>2628</v>
      </c>
      <c r="X302" s="73">
        <v>1</v>
      </c>
      <c r="Y302" s="73">
        <v>1</v>
      </c>
      <c r="Z302" s="73"/>
      <c r="AA302" s="112"/>
      <c r="AB302" s="129"/>
      <c r="AC302" s="106"/>
      <c r="AD302" s="106"/>
      <c r="AE302" s="2"/>
      <c r="AF302" s="2"/>
    </row>
    <row r="303" spans="1:32" ht="24" outlineLevel="1">
      <c r="A303" s="106">
        <v>302</v>
      </c>
      <c r="B303" s="73" t="s">
        <v>379</v>
      </c>
      <c r="C303" s="73" t="s">
        <v>1891</v>
      </c>
      <c r="D303" s="216"/>
      <c r="E303" s="227" t="s">
        <v>2243</v>
      </c>
      <c r="F303" s="218"/>
      <c r="G303" s="75"/>
      <c r="H303" s="75" t="s">
        <v>2246</v>
      </c>
      <c r="I303" s="75"/>
      <c r="J303" s="76"/>
      <c r="K303" s="77" t="s">
        <v>1592</v>
      </c>
      <c r="L303" s="107"/>
      <c r="M303" s="108"/>
      <c r="N303" s="181"/>
      <c r="O303" s="119" t="s">
        <v>34</v>
      </c>
      <c r="P303" s="120">
        <v>46181</v>
      </c>
      <c r="Q303" s="173" t="s">
        <v>1566</v>
      </c>
      <c r="R303" s="109"/>
      <c r="S303" s="109"/>
      <c r="T303" s="106"/>
      <c r="U303" s="106"/>
      <c r="V303" s="106"/>
      <c r="W303" s="73" t="s">
        <v>2634</v>
      </c>
      <c r="X303" s="73">
        <v>1</v>
      </c>
      <c r="Y303" s="73">
        <v>1</v>
      </c>
      <c r="Z303" s="73"/>
      <c r="AA303" s="112"/>
      <c r="AB303" s="129"/>
      <c r="AC303" s="106"/>
      <c r="AD303" s="106"/>
      <c r="AE303" s="2"/>
      <c r="AF303" s="2"/>
    </row>
    <row r="304" spans="1:32" outlineLevel="1">
      <c r="A304" s="106">
        <v>303</v>
      </c>
      <c r="B304" s="73" t="s">
        <v>380</v>
      </c>
      <c r="C304" s="73" t="s">
        <v>1891</v>
      </c>
      <c r="D304" s="216"/>
      <c r="E304" s="227" t="s">
        <v>2247</v>
      </c>
      <c r="F304" s="218"/>
      <c r="G304" s="75"/>
      <c r="H304" s="176" t="s">
        <v>2248</v>
      </c>
      <c r="I304" s="75"/>
      <c r="J304" s="76"/>
      <c r="K304" s="77" t="s">
        <v>1592</v>
      </c>
      <c r="L304" s="107"/>
      <c r="M304" s="108"/>
      <c r="N304" s="181"/>
      <c r="O304" s="119" t="s">
        <v>34</v>
      </c>
      <c r="P304" s="120">
        <v>46181</v>
      </c>
      <c r="Q304" s="173" t="s">
        <v>1566</v>
      </c>
      <c r="R304" s="109"/>
      <c r="S304" s="109"/>
      <c r="T304" s="106"/>
      <c r="U304" s="106"/>
      <c r="V304" s="106"/>
      <c r="W304" s="73" t="s">
        <v>2629</v>
      </c>
      <c r="X304" s="73">
        <v>1</v>
      </c>
      <c r="Y304" s="73">
        <v>1</v>
      </c>
      <c r="Z304" s="73"/>
      <c r="AA304" s="112"/>
      <c r="AB304" s="129"/>
      <c r="AC304" s="106"/>
      <c r="AD304" s="106"/>
      <c r="AE304" s="2"/>
      <c r="AF304" s="2"/>
    </row>
    <row r="305" spans="1:32" outlineLevel="1">
      <c r="A305" s="106">
        <v>304</v>
      </c>
      <c r="B305" s="73" t="s">
        <v>2249</v>
      </c>
      <c r="C305" s="73" t="s">
        <v>1891</v>
      </c>
      <c r="D305" s="216"/>
      <c r="E305" s="226" t="s">
        <v>2250</v>
      </c>
      <c r="F305" s="218"/>
      <c r="G305" s="75"/>
      <c r="H305" s="75"/>
      <c r="I305" s="75" t="s">
        <v>2251</v>
      </c>
      <c r="J305" s="76"/>
      <c r="K305" s="77" t="s">
        <v>1592</v>
      </c>
      <c r="L305" s="107"/>
      <c r="M305" s="108"/>
      <c r="N305" s="181"/>
      <c r="O305" s="119" t="s">
        <v>34</v>
      </c>
      <c r="P305" s="120">
        <v>46181</v>
      </c>
      <c r="Q305" s="173" t="s">
        <v>1566</v>
      </c>
      <c r="R305" s="109"/>
      <c r="S305" s="109"/>
      <c r="T305" s="106"/>
      <c r="U305" s="106"/>
      <c r="V305" s="106"/>
      <c r="W305" s="73" t="s">
        <v>2633</v>
      </c>
      <c r="X305" s="73">
        <v>1</v>
      </c>
      <c r="Y305" s="73">
        <v>1</v>
      </c>
      <c r="Z305" s="73"/>
      <c r="AA305" s="112"/>
      <c r="AB305" s="129"/>
      <c r="AC305" s="106"/>
      <c r="AD305" s="106"/>
      <c r="AE305" s="2"/>
      <c r="AF305" s="2"/>
    </row>
    <row r="306" spans="1:32" outlineLevel="1">
      <c r="A306" s="106">
        <v>305</v>
      </c>
      <c r="B306" s="73" t="s">
        <v>2252</v>
      </c>
      <c r="C306" s="73" t="s">
        <v>1891</v>
      </c>
      <c r="D306" s="216"/>
      <c r="E306" s="226" t="s">
        <v>2253</v>
      </c>
      <c r="F306" s="218"/>
      <c r="G306" s="75"/>
      <c r="H306" s="75"/>
      <c r="I306" s="75" t="s">
        <v>2254</v>
      </c>
      <c r="J306" s="76"/>
      <c r="K306" s="77" t="s">
        <v>1592</v>
      </c>
      <c r="L306" s="107"/>
      <c r="M306" s="108"/>
      <c r="N306" s="181"/>
      <c r="O306" s="119" t="s">
        <v>34</v>
      </c>
      <c r="P306" s="120">
        <v>46181</v>
      </c>
      <c r="Q306" s="173" t="s">
        <v>1566</v>
      </c>
      <c r="R306" s="109"/>
      <c r="S306" s="109"/>
      <c r="T306" s="106"/>
      <c r="U306" s="106"/>
      <c r="V306" s="106"/>
      <c r="W306" s="73" t="s">
        <v>2626</v>
      </c>
      <c r="X306" s="73"/>
      <c r="Y306" s="73">
        <v>1</v>
      </c>
      <c r="Z306" s="73">
        <v>1</v>
      </c>
      <c r="AA306" s="111" t="s">
        <v>372</v>
      </c>
      <c r="AB306" s="129"/>
      <c r="AC306" s="106"/>
      <c r="AD306" s="106"/>
      <c r="AE306" s="2"/>
      <c r="AF306" s="2"/>
    </row>
    <row r="307" spans="1:32" outlineLevel="1">
      <c r="A307" s="106">
        <v>306</v>
      </c>
      <c r="B307" s="73" t="s">
        <v>2255</v>
      </c>
      <c r="C307" s="73" t="s">
        <v>1891</v>
      </c>
      <c r="D307" s="216"/>
      <c r="E307" s="226" t="s">
        <v>2256</v>
      </c>
      <c r="F307" s="218"/>
      <c r="G307" s="75"/>
      <c r="H307" s="75"/>
      <c r="I307" s="75" t="s">
        <v>2257</v>
      </c>
      <c r="J307" s="76"/>
      <c r="K307" s="77" t="s">
        <v>1592</v>
      </c>
      <c r="L307" s="107"/>
      <c r="M307" s="108"/>
      <c r="N307" s="181"/>
      <c r="O307" s="119" t="s">
        <v>34</v>
      </c>
      <c r="P307" s="120">
        <v>46181</v>
      </c>
      <c r="Q307" s="173" t="s">
        <v>1566</v>
      </c>
      <c r="R307" s="109"/>
      <c r="S307" s="109"/>
      <c r="T307" s="106"/>
      <c r="U307" s="106"/>
      <c r="V307" s="106"/>
      <c r="W307" s="73" t="s">
        <v>2636</v>
      </c>
      <c r="X307" s="73"/>
      <c r="Y307" s="73">
        <v>1</v>
      </c>
      <c r="Z307" s="73">
        <v>1</v>
      </c>
      <c r="AA307" s="112"/>
      <c r="AB307" s="129"/>
      <c r="AC307" s="106"/>
      <c r="AD307" s="106"/>
      <c r="AE307" s="2"/>
      <c r="AF307" s="2"/>
    </row>
    <row r="308" spans="1:32" outlineLevel="1">
      <c r="A308" s="106">
        <v>307</v>
      </c>
      <c r="B308" s="73" t="s">
        <v>2112</v>
      </c>
      <c r="C308" s="87" t="s">
        <v>1883</v>
      </c>
      <c r="D308" s="216" t="s">
        <v>2113</v>
      </c>
      <c r="E308" s="227" t="s">
        <v>2114</v>
      </c>
      <c r="F308" s="218" t="s">
        <v>2115</v>
      </c>
      <c r="G308" s="75"/>
      <c r="H308" s="75"/>
      <c r="I308" s="75"/>
      <c r="J308" s="76"/>
      <c r="K308" s="77" t="s">
        <v>1592</v>
      </c>
      <c r="L308" s="107"/>
      <c r="M308" s="108"/>
      <c r="N308" s="181"/>
      <c r="O308" s="119" t="s">
        <v>34</v>
      </c>
      <c r="P308" s="120">
        <v>46181</v>
      </c>
      <c r="Q308" s="173" t="s">
        <v>1566</v>
      </c>
      <c r="R308" s="109"/>
      <c r="S308" s="109"/>
      <c r="T308" s="106"/>
      <c r="U308" s="106"/>
      <c r="V308" s="106"/>
      <c r="W308" s="73" t="s">
        <v>2631</v>
      </c>
      <c r="X308" s="73">
        <v>1</v>
      </c>
      <c r="Y308" s="73">
        <v>1</v>
      </c>
      <c r="Z308" s="73"/>
      <c r="AA308" s="111" t="s">
        <v>314</v>
      </c>
      <c r="AB308" s="118"/>
      <c r="AC308" s="106"/>
      <c r="AD308" s="106"/>
      <c r="AE308" s="2"/>
      <c r="AF308" s="2"/>
    </row>
    <row r="309" spans="1:32" outlineLevel="1">
      <c r="A309" s="106">
        <v>308</v>
      </c>
      <c r="B309" s="73"/>
      <c r="C309" s="73"/>
      <c r="D309" s="216"/>
      <c r="E309" s="227" t="s">
        <v>2258</v>
      </c>
      <c r="F309" s="218"/>
      <c r="G309" s="75" t="s">
        <v>2259</v>
      </c>
      <c r="H309" s="75"/>
      <c r="I309" s="75"/>
      <c r="J309" s="76"/>
      <c r="K309" s="73"/>
      <c r="L309" s="113"/>
      <c r="M309" s="114"/>
      <c r="N309" s="182"/>
      <c r="O309" s="115"/>
      <c r="P309" s="115"/>
      <c r="Q309" s="116"/>
      <c r="R309" s="115"/>
      <c r="S309" s="115"/>
      <c r="T309" s="106"/>
      <c r="U309" s="106"/>
      <c r="V309" s="106"/>
      <c r="W309" s="73"/>
      <c r="X309" s="73"/>
      <c r="Y309" s="73"/>
      <c r="Z309" s="73"/>
      <c r="AA309" s="112"/>
      <c r="AB309" s="129"/>
      <c r="AC309" s="106"/>
      <c r="AD309" s="106"/>
      <c r="AE309" s="2"/>
      <c r="AF309" s="2"/>
    </row>
    <row r="310" spans="1:32" outlineLevel="1">
      <c r="A310" s="106">
        <v>309</v>
      </c>
      <c r="B310" s="73" t="s">
        <v>2260</v>
      </c>
      <c r="C310" s="73" t="s">
        <v>1891</v>
      </c>
      <c r="D310" s="216"/>
      <c r="E310" s="226" t="s">
        <v>2258</v>
      </c>
      <c r="F310" s="218"/>
      <c r="G310" s="75"/>
      <c r="H310" s="75" t="s">
        <v>1734</v>
      </c>
      <c r="I310" s="75"/>
      <c r="J310" s="76"/>
      <c r="K310" s="77" t="s">
        <v>1592</v>
      </c>
      <c r="L310" s="107"/>
      <c r="M310" s="108"/>
      <c r="N310" s="181"/>
      <c r="O310" s="119" t="s">
        <v>34</v>
      </c>
      <c r="P310" s="120">
        <v>46181</v>
      </c>
      <c r="Q310" s="173" t="s">
        <v>1566</v>
      </c>
      <c r="R310" s="109"/>
      <c r="S310" s="109"/>
      <c r="T310" s="106"/>
      <c r="U310" s="106"/>
      <c r="V310" s="106"/>
      <c r="W310" s="73" t="s">
        <v>2628</v>
      </c>
      <c r="X310" s="73">
        <v>1</v>
      </c>
      <c r="Y310" s="73">
        <v>1</v>
      </c>
      <c r="Z310" s="73"/>
      <c r="AA310" s="112"/>
      <c r="AB310" s="129"/>
      <c r="AC310" s="106"/>
      <c r="AD310" s="106"/>
      <c r="AE310" s="2"/>
      <c r="AF310" s="2"/>
    </row>
    <row r="311" spans="1:32" outlineLevel="1">
      <c r="A311" s="106">
        <v>310</v>
      </c>
      <c r="B311" s="73" t="s">
        <v>381</v>
      </c>
      <c r="C311" s="73" t="s">
        <v>1891</v>
      </c>
      <c r="D311" s="216"/>
      <c r="E311" s="226" t="s">
        <v>2261</v>
      </c>
      <c r="F311" s="218"/>
      <c r="G311" s="75"/>
      <c r="H311" s="75" t="s">
        <v>2262</v>
      </c>
      <c r="I311" s="75"/>
      <c r="J311" s="76"/>
      <c r="K311" s="77" t="s">
        <v>1592</v>
      </c>
      <c r="L311" s="107"/>
      <c r="M311" s="108"/>
      <c r="N311" s="181"/>
      <c r="O311" s="119" t="s">
        <v>34</v>
      </c>
      <c r="P311" s="120">
        <v>46181</v>
      </c>
      <c r="Q311" s="173" t="s">
        <v>1566</v>
      </c>
      <c r="R311" s="109"/>
      <c r="S311" s="109"/>
      <c r="T311" s="106"/>
      <c r="U311" s="106"/>
      <c r="V311" s="106"/>
      <c r="W311" s="73" t="s">
        <v>2628</v>
      </c>
      <c r="X311" s="73">
        <v>1</v>
      </c>
      <c r="Y311" s="73">
        <v>1</v>
      </c>
      <c r="Z311" s="73"/>
      <c r="AA311" s="112"/>
      <c r="AB311" s="129"/>
      <c r="AC311" s="106"/>
      <c r="AD311" s="106"/>
      <c r="AE311" s="2"/>
      <c r="AF311" s="2"/>
    </row>
    <row r="312" spans="1:32" outlineLevel="1">
      <c r="A312" s="106">
        <v>311</v>
      </c>
      <c r="B312" s="73" t="s">
        <v>382</v>
      </c>
      <c r="C312" s="73" t="s">
        <v>1891</v>
      </c>
      <c r="D312" s="216"/>
      <c r="E312" s="226" t="s">
        <v>2263</v>
      </c>
      <c r="F312" s="218"/>
      <c r="G312" s="75"/>
      <c r="H312" s="75" t="s">
        <v>2264</v>
      </c>
      <c r="I312" s="75"/>
      <c r="J312" s="76"/>
      <c r="K312" s="77" t="s">
        <v>1592</v>
      </c>
      <c r="L312" s="107"/>
      <c r="M312" s="108"/>
      <c r="N312" s="181"/>
      <c r="O312" s="119" t="s">
        <v>34</v>
      </c>
      <c r="P312" s="120">
        <v>46181</v>
      </c>
      <c r="Q312" s="173" t="s">
        <v>1566</v>
      </c>
      <c r="R312" s="109"/>
      <c r="S312" s="109"/>
      <c r="T312" s="106"/>
      <c r="U312" s="106"/>
      <c r="V312" s="106"/>
      <c r="W312" s="73" t="s">
        <v>2631</v>
      </c>
      <c r="X312" s="73">
        <v>1</v>
      </c>
      <c r="Y312" s="73">
        <v>1</v>
      </c>
      <c r="Z312" s="73"/>
      <c r="AA312" s="112"/>
      <c r="AB312" s="129"/>
      <c r="AC312" s="106"/>
      <c r="AD312" s="106"/>
      <c r="AE312" s="2"/>
      <c r="AF312" s="2"/>
    </row>
    <row r="313" spans="1:32" outlineLevel="1">
      <c r="A313" s="106">
        <v>312</v>
      </c>
      <c r="B313" s="73"/>
      <c r="C313" s="73"/>
      <c r="D313" s="216"/>
      <c r="E313" s="226" t="s">
        <v>2265</v>
      </c>
      <c r="F313" s="218"/>
      <c r="G313" s="75" t="s">
        <v>2266</v>
      </c>
      <c r="H313" s="75"/>
      <c r="I313" s="75"/>
      <c r="J313" s="76"/>
      <c r="K313" s="73"/>
      <c r="L313" s="113"/>
      <c r="M313" s="114"/>
      <c r="N313" s="182"/>
      <c r="O313" s="115"/>
      <c r="P313" s="115"/>
      <c r="Q313" s="116"/>
      <c r="R313" s="115"/>
      <c r="S313" s="115"/>
      <c r="T313" s="106"/>
      <c r="U313" s="106"/>
      <c r="V313" s="106"/>
      <c r="W313" s="73"/>
      <c r="X313" s="73"/>
      <c r="Y313" s="73"/>
      <c r="Z313" s="73"/>
      <c r="AA313" s="112"/>
      <c r="AB313" s="129"/>
      <c r="AC313" s="106"/>
      <c r="AD313" s="106"/>
      <c r="AE313" s="2"/>
      <c r="AF313" s="2"/>
    </row>
    <row r="314" spans="1:32" outlineLevel="1">
      <c r="A314" s="106">
        <v>313</v>
      </c>
      <c r="B314" s="73" t="s">
        <v>2267</v>
      </c>
      <c r="C314" s="73" t="s">
        <v>1891</v>
      </c>
      <c r="D314" s="216"/>
      <c r="E314" s="226" t="s">
        <v>2265</v>
      </c>
      <c r="F314" s="218"/>
      <c r="G314" s="75"/>
      <c r="H314" s="75" t="s">
        <v>1734</v>
      </c>
      <c r="I314" s="75"/>
      <c r="J314" s="76"/>
      <c r="K314" s="77" t="s">
        <v>1592</v>
      </c>
      <c r="L314" s="107"/>
      <c r="M314" s="108"/>
      <c r="N314" s="181"/>
      <c r="O314" s="119" t="s">
        <v>34</v>
      </c>
      <c r="P314" s="120">
        <v>46181</v>
      </c>
      <c r="Q314" s="173" t="s">
        <v>1566</v>
      </c>
      <c r="R314" s="109"/>
      <c r="S314" s="109"/>
      <c r="T314" s="106"/>
      <c r="U314" s="106"/>
      <c r="V314" s="106"/>
      <c r="W314" s="73" t="s">
        <v>2628</v>
      </c>
      <c r="X314" s="73">
        <v>1</v>
      </c>
      <c r="Y314" s="73">
        <v>1</v>
      </c>
      <c r="Z314" s="73"/>
      <c r="AA314" s="112"/>
      <c r="AB314" s="129"/>
      <c r="AC314" s="106"/>
      <c r="AD314" s="106"/>
      <c r="AE314" s="2"/>
      <c r="AF314" s="2"/>
    </row>
    <row r="315" spans="1:32" outlineLevel="1">
      <c r="A315" s="106">
        <v>314</v>
      </c>
      <c r="B315" s="73" t="s">
        <v>383</v>
      </c>
      <c r="C315" s="73" t="s">
        <v>1891</v>
      </c>
      <c r="D315" s="216"/>
      <c r="E315" s="226" t="s">
        <v>2268</v>
      </c>
      <c r="F315" s="218"/>
      <c r="G315" s="75"/>
      <c r="H315" s="75" t="s">
        <v>2119</v>
      </c>
      <c r="I315" s="75"/>
      <c r="J315" s="76"/>
      <c r="K315" s="77" t="s">
        <v>1592</v>
      </c>
      <c r="L315" s="107"/>
      <c r="M315" s="108"/>
      <c r="N315" s="181"/>
      <c r="O315" s="119" t="s">
        <v>34</v>
      </c>
      <c r="P315" s="120">
        <v>46181</v>
      </c>
      <c r="Q315" s="173" t="s">
        <v>1566</v>
      </c>
      <c r="R315" s="109"/>
      <c r="S315" s="109"/>
      <c r="T315" s="106"/>
      <c r="U315" s="106"/>
      <c r="V315" s="106"/>
      <c r="W315" s="73" t="s">
        <v>2629</v>
      </c>
      <c r="X315" s="73">
        <v>1</v>
      </c>
      <c r="Y315" s="73">
        <v>1</v>
      </c>
      <c r="Z315" s="73"/>
      <c r="AA315" s="112"/>
      <c r="AB315" s="129"/>
      <c r="AC315" s="106"/>
      <c r="AD315" s="106"/>
      <c r="AE315" s="2"/>
      <c r="AF315" s="2"/>
    </row>
    <row r="316" spans="1:32" outlineLevel="1">
      <c r="A316" s="106">
        <v>315</v>
      </c>
      <c r="B316" s="73" t="s">
        <v>384</v>
      </c>
      <c r="C316" s="73" t="s">
        <v>1891</v>
      </c>
      <c r="D316" s="216"/>
      <c r="E316" s="226" t="s">
        <v>2269</v>
      </c>
      <c r="F316" s="218"/>
      <c r="G316" s="75"/>
      <c r="H316" s="75" t="s">
        <v>1918</v>
      </c>
      <c r="I316" s="75"/>
      <c r="J316" s="76"/>
      <c r="K316" s="77" t="s">
        <v>1592</v>
      </c>
      <c r="L316" s="107"/>
      <c r="M316" s="108"/>
      <c r="N316" s="181"/>
      <c r="O316" s="119" t="s">
        <v>34</v>
      </c>
      <c r="P316" s="120">
        <v>46181</v>
      </c>
      <c r="Q316" s="173" t="s">
        <v>1566</v>
      </c>
      <c r="R316" s="109"/>
      <c r="S316" s="109"/>
      <c r="T316" s="106"/>
      <c r="U316" s="106"/>
      <c r="V316" s="106"/>
      <c r="W316" s="73" t="s">
        <v>2634</v>
      </c>
      <c r="X316" s="73">
        <v>1</v>
      </c>
      <c r="Y316" s="73">
        <v>1</v>
      </c>
      <c r="Z316" s="73"/>
      <c r="AA316" s="112"/>
      <c r="AB316" s="129"/>
      <c r="AC316" s="106"/>
      <c r="AD316" s="106"/>
      <c r="AE316" s="2"/>
      <c r="AF316" s="2"/>
    </row>
    <row r="317" spans="1:32" ht="22.5" outlineLevel="1">
      <c r="A317" s="106">
        <v>316</v>
      </c>
      <c r="B317" s="73"/>
      <c r="C317" s="73"/>
      <c r="D317" s="216"/>
      <c r="E317" s="226" t="s">
        <v>2270</v>
      </c>
      <c r="F317" s="218"/>
      <c r="G317" s="75" t="s">
        <v>2271</v>
      </c>
      <c r="H317" s="75"/>
      <c r="I317" s="75"/>
      <c r="J317" s="76"/>
      <c r="K317" s="73"/>
      <c r="L317" s="113"/>
      <c r="M317" s="114"/>
      <c r="N317" s="182"/>
      <c r="O317" s="115"/>
      <c r="P317" s="115"/>
      <c r="Q317" s="116"/>
      <c r="R317" s="115"/>
      <c r="S317" s="115"/>
      <c r="T317" s="106"/>
      <c r="U317" s="106"/>
      <c r="V317" s="106"/>
      <c r="W317" s="73"/>
      <c r="X317" s="73"/>
      <c r="Y317" s="73"/>
      <c r="Z317" s="73"/>
      <c r="AA317" s="112"/>
      <c r="AB317" s="129"/>
      <c r="AC317" s="106"/>
      <c r="AD317" s="106"/>
      <c r="AE317" s="2"/>
      <c r="AF317" s="2"/>
    </row>
    <row r="318" spans="1:32" ht="22.5" outlineLevel="1">
      <c r="A318" s="106">
        <v>317</v>
      </c>
      <c r="B318" s="73" t="s">
        <v>2272</v>
      </c>
      <c r="C318" s="73" t="s">
        <v>1891</v>
      </c>
      <c r="D318" s="216"/>
      <c r="E318" s="226" t="s">
        <v>2270</v>
      </c>
      <c r="F318" s="218"/>
      <c r="G318" s="75"/>
      <c r="H318" s="75" t="s">
        <v>2056</v>
      </c>
      <c r="I318" s="75"/>
      <c r="J318" s="76"/>
      <c r="K318" s="77" t="s">
        <v>1592</v>
      </c>
      <c r="L318" s="107"/>
      <c r="M318" s="108"/>
      <c r="N318" s="181"/>
      <c r="O318" s="119" t="s">
        <v>34</v>
      </c>
      <c r="P318" s="120">
        <v>46181</v>
      </c>
      <c r="Q318" s="173" t="s">
        <v>1566</v>
      </c>
      <c r="R318" s="109"/>
      <c r="S318" s="109"/>
      <c r="T318" s="106"/>
      <c r="U318" s="106"/>
      <c r="V318" s="106"/>
      <c r="W318" s="73" t="s">
        <v>2633</v>
      </c>
      <c r="X318" s="73">
        <v>1</v>
      </c>
      <c r="Y318" s="73">
        <v>1</v>
      </c>
      <c r="Z318" s="73"/>
      <c r="AA318" s="112"/>
      <c r="AB318" s="129"/>
      <c r="AC318" s="106"/>
      <c r="AD318" s="106"/>
      <c r="AE318" s="2"/>
      <c r="AF318" s="2"/>
    </row>
    <row r="319" spans="1:32" outlineLevel="1">
      <c r="A319" s="106">
        <v>318</v>
      </c>
      <c r="B319" s="73" t="s">
        <v>385</v>
      </c>
      <c r="C319" s="73" t="s">
        <v>1891</v>
      </c>
      <c r="D319" s="216"/>
      <c r="E319" s="226" t="s">
        <v>2273</v>
      </c>
      <c r="F319" s="218"/>
      <c r="G319" s="75"/>
      <c r="H319" s="75" t="s">
        <v>2203</v>
      </c>
      <c r="I319" s="75"/>
      <c r="J319" s="76"/>
      <c r="K319" s="77" t="s">
        <v>1592</v>
      </c>
      <c r="L319" s="107"/>
      <c r="M319" s="108"/>
      <c r="N319" s="181"/>
      <c r="O319" s="119" t="s">
        <v>34</v>
      </c>
      <c r="P319" s="120">
        <v>46181</v>
      </c>
      <c r="Q319" s="173" t="s">
        <v>1566</v>
      </c>
      <c r="R319" s="109"/>
      <c r="S319" s="109"/>
      <c r="T319" s="106"/>
      <c r="U319" s="106"/>
      <c r="V319" s="106"/>
      <c r="W319" s="73" t="s">
        <v>2634</v>
      </c>
      <c r="X319" s="73">
        <v>1</v>
      </c>
      <c r="Y319" s="73">
        <v>1</v>
      </c>
      <c r="Z319" s="73"/>
      <c r="AA319" s="112"/>
      <c r="AB319" s="129"/>
      <c r="AC319" s="106"/>
      <c r="AD319" s="106"/>
      <c r="AE319" s="2"/>
      <c r="AF319" s="2"/>
    </row>
    <row r="320" spans="1:32" outlineLevel="1">
      <c r="A320" s="106">
        <v>319</v>
      </c>
      <c r="B320" s="73" t="s">
        <v>386</v>
      </c>
      <c r="C320" s="73" t="s">
        <v>1891</v>
      </c>
      <c r="D320" s="216"/>
      <c r="E320" s="226" t="s">
        <v>2274</v>
      </c>
      <c r="F320" s="218"/>
      <c r="G320" s="75"/>
      <c r="H320" s="75" t="s">
        <v>2275</v>
      </c>
      <c r="I320" s="75"/>
      <c r="J320" s="92" t="s">
        <v>2276</v>
      </c>
      <c r="K320" s="77" t="s">
        <v>1592</v>
      </c>
      <c r="L320" s="107"/>
      <c r="M320" s="108"/>
      <c r="N320" s="181"/>
      <c r="O320" s="119" t="s">
        <v>34</v>
      </c>
      <c r="P320" s="120">
        <v>46181</v>
      </c>
      <c r="Q320" s="173" t="s">
        <v>1566</v>
      </c>
      <c r="R320" s="109"/>
      <c r="S320" s="109"/>
      <c r="T320" s="106"/>
      <c r="U320" s="106"/>
      <c r="V320" s="106"/>
      <c r="W320" s="73" t="s">
        <v>2629</v>
      </c>
      <c r="X320" s="73">
        <v>1</v>
      </c>
      <c r="Y320" s="73">
        <v>1</v>
      </c>
      <c r="Z320" s="73"/>
      <c r="AA320" s="112"/>
      <c r="AB320" s="129"/>
      <c r="AC320" s="106"/>
      <c r="AD320" s="106"/>
      <c r="AE320" s="2"/>
      <c r="AF320" s="2"/>
    </row>
    <row r="321" spans="1:32" outlineLevel="1">
      <c r="A321" s="106">
        <v>320</v>
      </c>
      <c r="B321" s="73" t="s">
        <v>387</v>
      </c>
      <c r="C321" s="73" t="s">
        <v>1891</v>
      </c>
      <c r="D321" s="216"/>
      <c r="E321" s="226" t="s">
        <v>2277</v>
      </c>
      <c r="F321" s="218"/>
      <c r="G321" s="75"/>
      <c r="H321" s="75" t="s">
        <v>2213</v>
      </c>
      <c r="I321" s="75"/>
      <c r="J321" s="76"/>
      <c r="K321" s="77" t="s">
        <v>1592</v>
      </c>
      <c r="L321" s="107"/>
      <c r="M321" s="108"/>
      <c r="N321" s="181"/>
      <c r="O321" s="119" t="s">
        <v>34</v>
      </c>
      <c r="P321" s="120">
        <v>46181</v>
      </c>
      <c r="Q321" s="173" t="s">
        <v>1566</v>
      </c>
      <c r="R321" s="109"/>
      <c r="S321" s="109"/>
      <c r="T321" s="106"/>
      <c r="U321" s="106"/>
      <c r="V321" s="106"/>
      <c r="W321" s="73" t="s">
        <v>2631</v>
      </c>
      <c r="X321" s="73">
        <v>1</v>
      </c>
      <c r="Y321" s="73">
        <v>1</v>
      </c>
      <c r="Z321" s="73"/>
      <c r="AA321" s="112"/>
      <c r="AB321" s="129"/>
      <c r="AC321" s="106"/>
      <c r="AD321" s="106"/>
      <c r="AE321" s="2"/>
      <c r="AF321" s="2"/>
    </row>
    <row r="322" spans="1:32" outlineLevel="1">
      <c r="A322" s="106">
        <v>321</v>
      </c>
      <c r="B322" s="73"/>
      <c r="C322" s="73"/>
      <c r="D322" s="216"/>
      <c r="E322" s="226" t="s">
        <v>2278</v>
      </c>
      <c r="F322" s="218"/>
      <c r="G322" s="152" t="s">
        <v>2279</v>
      </c>
      <c r="H322" s="75"/>
      <c r="I322" s="75"/>
      <c r="J322" s="76"/>
      <c r="K322" s="73"/>
      <c r="L322" s="113"/>
      <c r="M322" s="114"/>
      <c r="N322" s="182"/>
      <c r="O322" s="115"/>
      <c r="P322" s="115"/>
      <c r="Q322" s="116"/>
      <c r="R322" s="115"/>
      <c r="S322" s="115"/>
      <c r="T322" s="106"/>
      <c r="U322" s="106"/>
      <c r="V322" s="106"/>
      <c r="W322" s="73"/>
      <c r="X322" s="73"/>
      <c r="Y322" s="73"/>
      <c r="Z322" s="73"/>
      <c r="AA322" s="112"/>
      <c r="AB322" s="129"/>
      <c r="AC322" s="106"/>
      <c r="AD322" s="106"/>
      <c r="AE322" s="2"/>
      <c r="AF322" s="2"/>
    </row>
    <row r="323" spans="1:32" outlineLevel="1">
      <c r="A323" s="106">
        <v>322</v>
      </c>
      <c r="B323" s="73" t="s">
        <v>2280</v>
      </c>
      <c r="C323" s="73" t="s">
        <v>1891</v>
      </c>
      <c r="D323" s="216"/>
      <c r="E323" s="226" t="s">
        <v>2278</v>
      </c>
      <c r="F323" s="218"/>
      <c r="G323" s="75"/>
      <c r="H323" s="75" t="s">
        <v>1734</v>
      </c>
      <c r="I323" s="75"/>
      <c r="J323" s="76"/>
      <c r="K323" s="77" t="s">
        <v>1592</v>
      </c>
      <c r="L323" s="107"/>
      <c r="M323" s="108"/>
      <c r="N323" s="181"/>
      <c r="O323" s="119" t="s">
        <v>34</v>
      </c>
      <c r="P323" s="120">
        <v>46181</v>
      </c>
      <c r="Q323" s="173" t="s">
        <v>1566</v>
      </c>
      <c r="R323" s="109"/>
      <c r="S323" s="109"/>
      <c r="T323" s="106"/>
      <c r="U323" s="106"/>
      <c r="V323" s="106"/>
      <c r="W323" s="73" t="s">
        <v>2634</v>
      </c>
      <c r="X323" s="73">
        <v>1</v>
      </c>
      <c r="Y323" s="73">
        <v>1</v>
      </c>
      <c r="Z323" s="73"/>
      <c r="AA323" s="112"/>
      <c r="AB323" s="129"/>
      <c r="AC323" s="106"/>
      <c r="AD323" s="106"/>
      <c r="AE323" s="2"/>
      <c r="AF323" s="2"/>
    </row>
    <row r="324" spans="1:32" outlineLevel="1">
      <c r="A324" s="106">
        <v>323</v>
      </c>
      <c r="B324" s="73" t="s">
        <v>388</v>
      </c>
      <c r="C324" s="73" t="s">
        <v>1891</v>
      </c>
      <c r="D324" s="216"/>
      <c r="E324" s="226" t="s">
        <v>2281</v>
      </c>
      <c r="F324" s="218"/>
      <c r="G324" s="75"/>
      <c r="H324" s="75" t="s">
        <v>2282</v>
      </c>
      <c r="I324" s="75"/>
      <c r="J324" s="76"/>
      <c r="K324" s="77" t="s">
        <v>1592</v>
      </c>
      <c r="L324" s="107"/>
      <c r="M324" s="108"/>
      <c r="N324" s="181"/>
      <c r="O324" s="119" t="s">
        <v>34</v>
      </c>
      <c r="P324" s="120">
        <v>46181</v>
      </c>
      <c r="Q324" s="173" t="s">
        <v>1566</v>
      </c>
      <c r="R324" s="109"/>
      <c r="S324" s="109"/>
      <c r="T324" s="106"/>
      <c r="U324" s="106"/>
      <c r="V324" s="106"/>
      <c r="W324" s="73" t="s">
        <v>2633</v>
      </c>
      <c r="X324" s="73">
        <v>1</v>
      </c>
      <c r="Y324" s="73">
        <v>1</v>
      </c>
      <c r="Z324" s="73"/>
      <c r="AA324" s="112"/>
      <c r="AB324" s="129"/>
      <c r="AC324" s="106"/>
      <c r="AD324" s="106"/>
      <c r="AE324" s="2"/>
      <c r="AF324" s="2"/>
    </row>
    <row r="325" spans="1:32" outlineLevel="1">
      <c r="A325" s="106">
        <v>324</v>
      </c>
      <c r="B325" s="73" t="s">
        <v>389</v>
      </c>
      <c r="C325" s="73" t="s">
        <v>1891</v>
      </c>
      <c r="D325" s="216"/>
      <c r="E325" s="226" t="s">
        <v>2283</v>
      </c>
      <c r="F325" s="218"/>
      <c r="G325" s="75"/>
      <c r="H325" s="75" t="s">
        <v>2284</v>
      </c>
      <c r="I325" s="75"/>
      <c r="J325" s="92" t="s">
        <v>2276</v>
      </c>
      <c r="K325" s="77" t="s">
        <v>1592</v>
      </c>
      <c r="L325" s="107"/>
      <c r="M325" s="108"/>
      <c r="N325" s="181"/>
      <c r="O325" s="119" t="s">
        <v>34</v>
      </c>
      <c r="P325" s="120">
        <v>46181</v>
      </c>
      <c r="Q325" s="173" t="s">
        <v>1566</v>
      </c>
      <c r="R325" s="109"/>
      <c r="S325" s="109"/>
      <c r="T325" s="106"/>
      <c r="U325" s="106"/>
      <c r="V325" s="106"/>
      <c r="W325" s="73" t="s">
        <v>2633</v>
      </c>
      <c r="X325" s="73">
        <v>1</v>
      </c>
      <c r="Y325" s="73">
        <v>1</v>
      </c>
      <c r="Z325" s="73"/>
      <c r="AA325" s="112"/>
      <c r="AB325" s="129"/>
      <c r="AC325" s="106"/>
      <c r="AD325" s="106"/>
      <c r="AE325" s="2"/>
      <c r="AF325" s="2"/>
    </row>
    <row r="326" spans="1:32" outlineLevel="1">
      <c r="A326" s="106">
        <v>325</v>
      </c>
      <c r="B326" s="73" t="s">
        <v>390</v>
      </c>
      <c r="C326" s="73" t="s">
        <v>1891</v>
      </c>
      <c r="D326" s="216"/>
      <c r="E326" s="226" t="s">
        <v>2285</v>
      </c>
      <c r="F326" s="218"/>
      <c r="G326" s="75"/>
      <c r="H326" s="75" t="s">
        <v>2178</v>
      </c>
      <c r="I326" s="75"/>
      <c r="J326" s="76"/>
      <c r="K326" s="77" t="s">
        <v>1592</v>
      </c>
      <c r="L326" s="107"/>
      <c r="M326" s="108"/>
      <c r="N326" s="181"/>
      <c r="O326" s="119" t="s">
        <v>34</v>
      </c>
      <c r="P326" s="120">
        <v>46181</v>
      </c>
      <c r="Q326" s="173" t="s">
        <v>1566</v>
      </c>
      <c r="R326" s="109"/>
      <c r="S326" s="109"/>
      <c r="T326" s="106"/>
      <c r="U326" s="106"/>
      <c r="V326" s="106"/>
      <c r="W326" s="73" t="s">
        <v>2629</v>
      </c>
      <c r="X326" s="73">
        <v>1</v>
      </c>
      <c r="Y326" s="73">
        <v>1</v>
      </c>
      <c r="Z326" s="73"/>
      <c r="AA326" s="112"/>
      <c r="AB326" s="129"/>
      <c r="AC326" s="106"/>
      <c r="AD326" s="106"/>
      <c r="AE326" s="2"/>
      <c r="AF326" s="2"/>
    </row>
    <row r="327" spans="1:32" ht="24" outlineLevel="1">
      <c r="A327" s="106">
        <v>326</v>
      </c>
      <c r="B327" s="73" t="s">
        <v>2286</v>
      </c>
      <c r="C327" s="73" t="s">
        <v>1891</v>
      </c>
      <c r="D327" s="216"/>
      <c r="E327" s="226" t="s">
        <v>2287</v>
      </c>
      <c r="F327" s="218"/>
      <c r="G327" s="75"/>
      <c r="H327" s="75"/>
      <c r="I327" s="75" t="s">
        <v>2288</v>
      </c>
      <c r="J327" s="76"/>
      <c r="K327" s="77" t="s">
        <v>1592</v>
      </c>
      <c r="L327" s="107"/>
      <c r="M327" s="108"/>
      <c r="N327" s="181"/>
      <c r="O327" s="119" t="s">
        <v>34</v>
      </c>
      <c r="P327" s="120">
        <v>46181</v>
      </c>
      <c r="Q327" s="173" t="s">
        <v>1566</v>
      </c>
      <c r="R327" s="109"/>
      <c r="S327" s="109"/>
      <c r="T327" s="106"/>
      <c r="U327" s="106"/>
      <c r="V327" s="106"/>
      <c r="W327" s="73" t="s">
        <v>2630</v>
      </c>
      <c r="X327" s="73"/>
      <c r="Y327" s="73">
        <v>1</v>
      </c>
      <c r="Z327" s="73">
        <v>1</v>
      </c>
      <c r="AA327" s="112"/>
      <c r="AB327" s="129"/>
      <c r="AC327" s="106"/>
      <c r="AD327" s="106"/>
      <c r="AE327" s="2"/>
      <c r="AF327" s="2"/>
    </row>
    <row r="328" spans="1:32" ht="22.5" outlineLevel="1">
      <c r="A328" s="106">
        <v>327</v>
      </c>
      <c r="B328" s="73" t="s">
        <v>2289</v>
      </c>
      <c r="C328" s="73" t="s">
        <v>1891</v>
      </c>
      <c r="D328" s="216"/>
      <c r="E328" s="226" t="s">
        <v>2290</v>
      </c>
      <c r="F328" s="218"/>
      <c r="G328" s="75"/>
      <c r="H328" s="75"/>
      <c r="I328" s="75" t="s">
        <v>2291</v>
      </c>
      <c r="J328" s="76"/>
      <c r="K328" s="77" t="s">
        <v>1592</v>
      </c>
      <c r="L328" s="107"/>
      <c r="M328" s="108"/>
      <c r="N328" s="181"/>
      <c r="O328" s="119" t="s">
        <v>34</v>
      </c>
      <c r="P328" s="120">
        <v>46181</v>
      </c>
      <c r="Q328" s="173" t="s">
        <v>1566</v>
      </c>
      <c r="R328" s="109"/>
      <c r="S328" s="109"/>
      <c r="T328" s="106"/>
      <c r="U328" s="106"/>
      <c r="V328" s="106"/>
      <c r="W328" s="73" t="s">
        <v>2628</v>
      </c>
      <c r="X328" s="73">
        <v>1</v>
      </c>
      <c r="Y328" s="73">
        <v>2</v>
      </c>
      <c r="Z328" s="73"/>
      <c r="AA328" s="112"/>
      <c r="AB328" s="129"/>
      <c r="AC328" s="106"/>
      <c r="AD328" s="106"/>
      <c r="AE328" s="2"/>
      <c r="AF328" s="2"/>
    </row>
    <row r="329" spans="1:32" s="101" customFormat="1">
      <c r="A329" s="106">
        <v>328</v>
      </c>
      <c r="B329" s="83"/>
      <c r="C329" s="83"/>
      <c r="D329" s="220"/>
      <c r="E329" s="84"/>
      <c r="F329" s="221"/>
      <c r="G329" s="84"/>
      <c r="H329" s="84"/>
      <c r="I329" s="84"/>
      <c r="J329" s="84"/>
      <c r="K329" s="83"/>
      <c r="L329" s="121"/>
      <c r="M329" s="122"/>
      <c r="N329" s="183"/>
      <c r="O329" s="123"/>
      <c r="P329" s="123"/>
      <c r="Q329" s="124"/>
      <c r="R329" s="123"/>
      <c r="S329" s="123"/>
      <c r="T329" s="125"/>
      <c r="U329" s="125"/>
      <c r="V329" s="125"/>
      <c r="W329" s="83"/>
      <c r="X329" s="83"/>
      <c r="Y329" s="83"/>
      <c r="Z329" s="83"/>
      <c r="AA329" s="126"/>
      <c r="AB329" s="127"/>
      <c r="AC329" s="125"/>
      <c r="AD329" s="125"/>
      <c r="AE329" s="100"/>
      <c r="AF329" s="100"/>
    </row>
    <row r="330" spans="1:32" outlineLevel="1">
      <c r="A330" s="106">
        <v>329</v>
      </c>
      <c r="B330" s="73" t="s">
        <v>2292</v>
      </c>
      <c r="C330" s="87" t="s">
        <v>1883</v>
      </c>
      <c r="D330" s="216" t="s">
        <v>2293</v>
      </c>
      <c r="E330" s="226" t="s">
        <v>2294</v>
      </c>
      <c r="F330" s="218" t="s">
        <v>2295</v>
      </c>
      <c r="G330" s="75" t="s">
        <v>2296</v>
      </c>
      <c r="H330" s="75"/>
      <c r="I330" s="75"/>
      <c r="J330" s="76"/>
      <c r="K330" s="77" t="s">
        <v>1592</v>
      </c>
      <c r="L330" s="107" t="s">
        <v>25</v>
      </c>
      <c r="M330" s="108"/>
      <c r="N330" s="181" t="s">
        <v>39</v>
      </c>
      <c r="O330" s="109" t="s">
        <v>24</v>
      </c>
      <c r="P330" s="109"/>
      <c r="Q330" s="173" t="s">
        <v>1566</v>
      </c>
      <c r="R330" s="109"/>
      <c r="S330" s="109"/>
      <c r="T330" s="106"/>
      <c r="U330" s="106"/>
      <c r="V330" s="106"/>
      <c r="W330" s="73" t="s">
        <v>2628</v>
      </c>
      <c r="X330" s="73">
        <v>1</v>
      </c>
      <c r="Y330" s="73">
        <v>1</v>
      </c>
      <c r="Z330" s="73"/>
      <c r="AA330" s="111" t="s">
        <v>392</v>
      </c>
      <c r="AB330" s="118"/>
      <c r="AC330" s="106" t="s">
        <v>177</v>
      </c>
      <c r="AD330" s="106" t="s">
        <v>393</v>
      </c>
      <c r="AE330" s="2"/>
      <c r="AF330" s="2"/>
    </row>
    <row r="331" spans="1:32" outlineLevel="1">
      <c r="A331" s="106">
        <v>330</v>
      </c>
      <c r="B331" s="73" t="s">
        <v>1758</v>
      </c>
      <c r="C331" s="73"/>
      <c r="D331" s="216"/>
      <c r="E331" s="226" t="s">
        <v>2297</v>
      </c>
      <c r="F331" s="218"/>
      <c r="G331" s="75"/>
      <c r="H331" s="75" t="s">
        <v>1724</v>
      </c>
      <c r="I331" s="75"/>
      <c r="J331" s="76"/>
      <c r="K331" s="73"/>
      <c r="L331" s="113"/>
      <c r="M331" s="114"/>
      <c r="N331" s="181">
        <v>46178</v>
      </c>
      <c r="O331" s="115"/>
      <c r="P331" s="115"/>
      <c r="Q331" s="116"/>
      <c r="R331" s="115"/>
      <c r="S331" s="115"/>
      <c r="T331" s="106"/>
      <c r="U331" s="106"/>
      <c r="V331" s="106"/>
      <c r="W331" s="73"/>
      <c r="X331" s="73"/>
      <c r="Y331" s="73"/>
      <c r="Z331" s="73"/>
      <c r="AA331" s="111" t="s">
        <v>394</v>
      </c>
      <c r="AB331" s="118"/>
      <c r="AC331" s="106"/>
      <c r="AD331" s="106"/>
      <c r="AE331" s="2"/>
      <c r="AF331" s="2"/>
    </row>
    <row r="332" spans="1:32" outlineLevel="1">
      <c r="A332" s="106">
        <v>331</v>
      </c>
      <c r="B332" s="73" t="s">
        <v>2298</v>
      </c>
      <c r="C332" s="73" t="s">
        <v>1897</v>
      </c>
      <c r="D332" s="216"/>
      <c r="E332" s="226" t="s">
        <v>2299</v>
      </c>
      <c r="F332" s="218"/>
      <c r="G332" s="75"/>
      <c r="H332" s="75" t="s">
        <v>2300</v>
      </c>
      <c r="I332" s="75" t="s">
        <v>2301</v>
      </c>
      <c r="J332" s="76"/>
      <c r="K332" s="77" t="s">
        <v>1592</v>
      </c>
      <c r="L332" s="107" t="s">
        <v>25</v>
      </c>
      <c r="M332" s="108"/>
      <c r="N332" s="181" t="s">
        <v>39</v>
      </c>
      <c r="O332" s="109" t="s">
        <v>24</v>
      </c>
      <c r="P332" s="109"/>
      <c r="Q332" s="173" t="s">
        <v>1566</v>
      </c>
      <c r="R332" s="109"/>
      <c r="S332" s="109"/>
      <c r="T332" s="106"/>
      <c r="U332" s="106"/>
      <c r="V332" s="106"/>
      <c r="W332" s="73" t="s">
        <v>2633</v>
      </c>
      <c r="X332" s="73">
        <v>1</v>
      </c>
      <c r="Y332" s="73">
        <v>4</v>
      </c>
      <c r="Z332" s="73"/>
      <c r="AA332" s="112"/>
      <c r="AB332" s="118"/>
      <c r="AC332" s="106" t="s">
        <v>177</v>
      </c>
      <c r="AD332" s="106" t="s">
        <v>393</v>
      </c>
      <c r="AE332" s="2"/>
      <c r="AF332" s="2"/>
    </row>
    <row r="333" spans="1:32" outlineLevel="1">
      <c r="A333" s="106">
        <v>332</v>
      </c>
      <c r="B333" s="73"/>
      <c r="C333" s="73"/>
      <c r="D333" s="216"/>
      <c r="E333" s="227" t="s">
        <v>2302</v>
      </c>
      <c r="F333" s="218"/>
      <c r="G333" s="75"/>
      <c r="H333" s="75"/>
      <c r="I333" s="90" t="s">
        <v>2303</v>
      </c>
      <c r="J333" s="76"/>
      <c r="K333" s="73"/>
      <c r="L333" s="113"/>
      <c r="M333" s="114"/>
      <c r="N333" s="182"/>
      <c r="O333" s="115"/>
      <c r="P333" s="115"/>
      <c r="Q333" s="116"/>
      <c r="R333" s="115"/>
      <c r="S333" s="115"/>
      <c r="T333" s="106"/>
      <c r="U333" s="106"/>
      <c r="V333" s="106"/>
      <c r="W333" s="73"/>
      <c r="X333" s="73"/>
      <c r="Y333" s="73"/>
      <c r="Z333" s="73"/>
      <c r="AA333" s="112"/>
      <c r="AB333" s="118"/>
      <c r="AC333" s="106"/>
      <c r="AD333" s="106"/>
      <c r="AE333" s="2"/>
      <c r="AF333" s="2"/>
    </row>
    <row r="334" spans="1:32" ht="24" outlineLevel="1">
      <c r="A334" s="106">
        <v>333</v>
      </c>
      <c r="B334" s="73"/>
      <c r="C334" s="73"/>
      <c r="D334" s="216"/>
      <c r="E334" s="226" t="s">
        <v>2304</v>
      </c>
      <c r="F334" s="218"/>
      <c r="G334" s="75"/>
      <c r="H334" s="75"/>
      <c r="I334" s="90" t="s">
        <v>2305</v>
      </c>
      <c r="J334" s="76"/>
      <c r="K334" s="73"/>
      <c r="L334" s="113"/>
      <c r="M334" s="114"/>
      <c r="N334" s="182"/>
      <c r="O334" s="115"/>
      <c r="P334" s="115"/>
      <c r="Q334" s="116"/>
      <c r="R334" s="115"/>
      <c r="S334" s="115"/>
      <c r="T334" s="106"/>
      <c r="U334" s="106"/>
      <c r="V334" s="106"/>
      <c r="W334" s="73"/>
      <c r="X334" s="73"/>
      <c r="Y334" s="73"/>
      <c r="Z334" s="73"/>
      <c r="AA334" s="112"/>
      <c r="AB334" s="118"/>
      <c r="AC334" s="106"/>
      <c r="AD334" s="106"/>
      <c r="AE334" s="2"/>
      <c r="AF334" s="2"/>
    </row>
    <row r="335" spans="1:32" ht="22.5" outlineLevel="1">
      <c r="A335" s="106">
        <v>334</v>
      </c>
      <c r="B335" s="73"/>
      <c r="C335" s="73"/>
      <c r="D335" s="216"/>
      <c r="E335" s="226" t="s">
        <v>2306</v>
      </c>
      <c r="F335" s="218"/>
      <c r="G335" s="75"/>
      <c r="H335" s="75"/>
      <c r="I335" s="90" t="s">
        <v>2307</v>
      </c>
      <c r="J335" s="76"/>
      <c r="K335" s="73"/>
      <c r="L335" s="113"/>
      <c r="M335" s="114"/>
      <c r="N335" s="182"/>
      <c r="O335" s="115"/>
      <c r="P335" s="115"/>
      <c r="Q335" s="116"/>
      <c r="R335" s="115"/>
      <c r="S335" s="115"/>
      <c r="T335" s="106"/>
      <c r="U335" s="106"/>
      <c r="V335" s="106"/>
      <c r="W335" s="73"/>
      <c r="X335" s="73"/>
      <c r="Y335" s="73"/>
      <c r="Z335" s="73"/>
      <c r="AA335" s="112"/>
      <c r="AB335" s="118"/>
      <c r="AC335" s="106"/>
      <c r="AD335" s="106"/>
      <c r="AE335" s="2"/>
      <c r="AF335" s="2"/>
    </row>
    <row r="336" spans="1:32" outlineLevel="1">
      <c r="A336" s="106">
        <v>335</v>
      </c>
      <c r="B336" s="73"/>
      <c r="C336" s="73"/>
      <c r="D336" s="216"/>
      <c r="E336" s="226" t="s">
        <v>2308</v>
      </c>
      <c r="F336" s="218"/>
      <c r="G336" s="75"/>
      <c r="H336" s="75"/>
      <c r="I336" s="90" t="s">
        <v>2309</v>
      </c>
      <c r="J336" s="76"/>
      <c r="K336" s="73"/>
      <c r="L336" s="113"/>
      <c r="M336" s="114"/>
      <c r="N336" s="182"/>
      <c r="O336" s="115"/>
      <c r="P336" s="115"/>
      <c r="Q336" s="116"/>
      <c r="R336" s="115"/>
      <c r="S336" s="115"/>
      <c r="T336" s="106"/>
      <c r="U336" s="106"/>
      <c r="V336" s="106"/>
      <c r="W336" s="73"/>
      <c r="X336" s="73"/>
      <c r="Y336" s="73"/>
      <c r="Z336" s="73"/>
      <c r="AA336" s="112"/>
      <c r="AB336" s="118"/>
      <c r="AC336" s="106"/>
      <c r="AD336" s="106"/>
      <c r="AE336" s="2"/>
      <c r="AF336" s="2"/>
    </row>
    <row r="337" spans="1:32" outlineLevel="1">
      <c r="A337" s="106">
        <v>336</v>
      </c>
      <c r="B337" s="73" t="s">
        <v>395</v>
      </c>
      <c r="C337" s="73" t="s">
        <v>1897</v>
      </c>
      <c r="D337" s="216"/>
      <c r="E337" s="226" t="s">
        <v>2310</v>
      </c>
      <c r="F337" s="218"/>
      <c r="G337" s="75"/>
      <c r="H337" s="75"/>
      <c r="I337" s="75" t="s">
        <v>2311</v>
      </c>
      <c r="J337" s="76"/>
      <c r="K337" s="77" t="s">
        <v>1592</v>
      </c>
      <c r="L337" s="107"/>
      <c r="M337" s="108"/>
      <c r="N337" s="181"/>
      <c r="O337" s="119" t="s">
        <v>34</v>
      </c>
      <c r="P337" s="120">
        <v>46181</v>
      </c>
      <c r="Q337" s="173" t="s">
        <v>1566</v>
      </c>
      <c r="R337" s="109"/>
      <c r="S337" s="109"/>
      <c r="T337" s="106"/>
      <c r="U337" s="106"/>
      <c r="V337" s="106"/>
      <c r="W337" s="73" t="s">
        <v>2631</v>
      </c>
      <c r="X337" s="73">
        <v>1</v>
      </c>
      <c r="Y337" s="73">
        <v>4</v>
      </c>
      <c r="Z337" s="73"/>
      <c r="AA337" s="112"/>
      <c r="AB337" s="118"/>
      <c r="AC337" s="106"/>
      <c r="AD337" s="106"/>
      <c r="AE337" s="2"/>
      <c r="AF337" s="2"/>
    </row>
    <row r="338" spans="1:32" outlineLevel="1">
      <c r="A338" s="106">
        <v>337</v>
      </c>
      <c r="B338" s="73" t="s">
        <v>2312</v>
      </c>
      <c r="C338" s="87" t="s">
        <v>1883</v>
      </c>
      <c r="D338" s="216"/>
      <c r="E338" s="226" t="s">
        <v>2313</v>
      </c>
      <c r="F338" s="218"/>
      <c r="G338" s="75"/>
      <c r="H338" s="75"/>
      <c r="I338" s="75" t="s">
        <v>2314</v>
      </c>
      <c r="J338" s="76"/>
      <c r="K338" s="77" t="s">
        <v>1592</v>
      </c>
      <c r="L338" s="107" t="s">
        <v>25</v>
      </c>
      <c r="M338" s="108"/>
      <c r="N338" s="181"/>
      <c r="O338" s="119" t="s">
        <v>34</v>
      </c>
      <c r="P338" s="120">
        <v>46181</v>
      </c>
      <c r="Q338" s="173" t="s">
        <v>1566</v>
      </c>
      <c r="R338" s="109"/>
      <c r="S338" s="109"/>
      <c r="T338" s="106"/>
      <c r="U338" s="106"/>
      <c r="V338" s="106"/>
      <c r="W338" s="73" t="s">
        <v>2626</v>
      </c>
      <c r="X338" s="73"/>
      <c r="Y338" s="73">
        <v>1</v>
      </c>
      <c r="Z338" s="73">
        <v>1</v>
      </c>
      <c r="AA338" s="111" t="s">
        <v>396</v>
      </c>
      <c r="AB338" s="118"/>
      <c r="AC338" s="106"/>
      <c r="AD338" s="106"/>
      <c r="AE338" s="2"/>
      <c r="AF338" s="2"/>
    </row>
    <row r="339" spans="1:32" outlineLevel="1">
      <c r="A339" s="106">
        <v>338</v>
      </c>
      <c r="B339" s="73" t="s">
        <v>397</v>
      </c>
      <c r="C339" s="73" t="s">
        <v>1897</v>
      </c>
      <c r="D339" s="216"/>
      <c r="E339" s="226" t="s">
        <v>2315</v>
      </c>
      <c r="F339" s="218"/>
      <c r="G339" s="75"/>
      <c r="H339" s="75"/>
      <c r="I339" s="75" t="s">
        <v>2316</v>
      </c>
      <c r="J339" s="76"/>
      <c r="K339" s="77" t="s">
        <v>1592</v>
      </c>
      <c r="L339" s="107"/>
      <c r="M339" s="108"/>
      <c r="N339" s="181"/>
      <c r="O339" s="119" t="s">
        <v>34</v>
      </c>
      <c r="P339" s="120">
        <v>46181</v>
      </c>
      <c r="Q339" s="173" t="s">
        <v>1566</v>
      </c>
      <c r="R339" s="109"/>
      <c r="S339" s="109"/>
      <c r="T339" s="106"/>
      <c r="U339" s="106"/>
      <c r="V339" s="106"/>
      <c r="W339" s="73" t="s">
        <v>2634</v>
      </c>
      <c r="X339" s="73">
        <v>1</v>
      </c>
      <c r="Y339" s="73">
        <v>4</v>
      </c>
      <c r="Z339" s="73"/>
      <c r="AA339" s="112"/>
      <c r="AB339" s="118"/>
      <c r="AC339" s="106"/>
      <c r="AD339" s="106"/>
      <c r="AE339" s="2"/>
      <c r="AF339" s="2"/>
    </row>
    <row r="340" spans="1:32" outlineLevel="1">
      <c r="A340" s="106">
        <v>339</v>
      </c>
      <c r="B340" s="73" t="s">
        <v>398</v>
      </c>
      <c r="C340" s="73" t="s">
        <v>1897</v>
      </c>
      <c r="D340" s="216"/>
      <c r="E340" s="226" t="s">
        <v>2317</v>
      </c>
      <c r="F340" s="218"/>
      <c r="G340" s="75"/>
      <c r="H340" s="75"/>
      <c r="I340" s="75" t="s">
        <v>2318</v>
      </c>
      <c r="J340" s="76"/>
      <c r="K340" s="77" t="s">
        <v>1592</v>
      </c>
      <c r="L340" s="107"/>
      <c r="M340" s="108"/>
      <c r="N340" s="181"/>
      <c r="O340" s="119" t="s">
        <v>34</v>
      </c>
      <c r="P340" s="120">
        <v>46181</v>
      </c>
      <c r="Q340" s="173" t="s">
        <v>1566</v>
      </c>
      <c r="R340" s="109"/>
      <c r="S340" s="109"/>
      <c r="T340" s="106"/>
      <c r="U340" s="106"/>
      <c r="V340" s="106"/>
      <c r="W340" s="73" t="s">
        <v>2633</v>
      </c>
      <c r="X340" s="73">
        <v>1</v>
      </c>
      <c r="Y340" s="73">
        <v>3</v>
      </c>
      <c r="Z340" s="73"/>
      <c r="AA340" s="112"/>
      <c r="AB340" s="118"/>
      <c r="AC340" s="106"/>
      <c r="AD340" s="106"/>
      <c r="AE340" s="2"/>
      <c r="AF340" s="2"/>
    </row>
    <row r="341" spans="1:32" outlineLevel="1">
      <c r="A341" s="106">
        <v>340</v>
      </c>
      <c r="B341" s="73" t="s">
        <v>399</v>
      </c>
      <c r="C341" s="73" t="s">
        <v>1897</v>
      </c>
      <c r="D341" s="216"/>
      <c r="E341" s="226" t="s">
        <v>2319</v>
      </c>
      <c r="F341" s="218"/>
      <c r="G341" s="75"/>
      <c r="H341" s="75"/>
      <c r="I341" s="75" t="s">
        <v>2320</v>
      </c>
      <c r="J341" s="76"/>
      <c r="K341" s="77" t="s">
        <v>1592</v>
      </c>
      <c r="L341" s="107"/>
      <c r="M341" s="108"/>
      <c r="N341" s="181"/>
      <c r="O341" s="119" t="s">
        <v>34</v>
      </c>
      <c r="P341" s="120">
        <v>46181</v>
      </c>
      <c r="Q341" s="173" t="s">
        <v>1566</v>
      </c>
      <c r="R341" s="109"/>
      <c r="S341" s="109"/>
      <c r="T341" s="106"/>
      <c r="U341" s="106"/>
      <c r="V341" s="106"/>
      <c r="W341" s="73" t="s">
        <v>2633</v>
      </c>
      <c r="X341" s="73">
        <v>1</v>
      </c>
      <c r="Y341" s="73">
        <v>3</v>
      </c>
      <c r="Z341" s="73"/>
      <c r="AA341" s="112"/>
      <c r="AB341" s="118"/>
      <c r="AC341" s="106"/>
      <c r="AD341" s="106"/>
      <c r="AE341" s="2"/>
      <c r="AF341" s="2"/>
    </row>
    <row r="342" spans="1:32" outlineLevel="1">
      <c r="A342" s="106">
        <v>341</v>
      </c>
      <c r="B342" s="73" t="s">
        <v>400</v>
      </c>
      <c r="C342" s="73" t="s">
        <v>1897</v>
      </c>
      <c r="D342" s="216"/>
      <c r="E342" s="226" t="s">
        <v>2321</v>
      </c>
      <c r="F342" s="218"/>
      <c r="G342" s="75"/>
      <c r="H342" s="75"/>
      <c r="I342" s="75" t="s">
        <v>2322</v>
      </c>
      <c r="J342" s="76"/>
      <c r="K342" s="77" t="s">
        <v>1592</v>
      </c>
      <c r="L342" s="107"/>
      <c r="M342" s="108"/>
      <c r="N342" s="181"/>
      <c r="O342" s="119" t="s">
        <v>34</v>
      </c>
      <c r="P342" s="120">
        <v>46181</v>
      </c>
      <c r="Q342" s="173" t="s">
        <v>1566</v>
      </c>
      <c r="R342" s="109"/>
      <c r="S342" s="109"/>
      <c r="T342" s="106"/>
      <c r="U342" s="106"/>
      <c r="V342" s="106"/>
      <c r="W342" s="73" t="s">
        <v>2631</v>
      </c>
      <c r="X342" s="73">
        <v>1</v>
      </c>
      <c r="Y342" s="73">
        <v>3</v>
      </c>
      <c r="Z342" s="73"/>
      <c r="AA342" s="111" t="s">
        <v>401</v>
      </c>
      <c r="AB342" s="118"/>
      <c r="AC342" s="106"/>
      <c r="AD342" s="106"/>
      <c r="AE342" s="2"/>
      <c r="AF342" s="2"/>
    </row>
    <row r="343" spans="1:32" outlineLevel="1">
      <c r="A343" s="106">
        <v>342</v>
      </c>
      <c r="B343" s="73" t="s">
        <v>402</v>
      </c>
      <c r="C343" s="73" t="s">
        <v>1897</v>
      </c>
      <c r="D343" s="216"/>
      <c r="E343" s="226" t="s">
        <v>2323</v>
      </c>
      <c r="F343" s="218"/>
      <c r="G343" s="75"/>
      <c r="H343" s="75"/>
      <c r="I343" s="75" t="s">
        <v>2324</v>
      </c>
      <c r="J343" s="76"/>
      <c r="K343" s="77" t="s">
        <v>1592</v>
      </c>
      <c r="L343" s="107"/>
      <c r="M343" s="108"/>
      <c r="N343" s="181"/>
      <c r="O343" s="119" t="s">
        <v>34</v>
      </c>
      <c r="P343" s="120">
        <v>46181</v>
      </c>
      <c r="Q343" s="173" t="s">
        <v>1566</v>
      </c>
      <c r="R343" s="109"/>
      <c r="S343" s="109"/>
      <c r="T343" s="106"/>
      <c r="U343" s="106"/>
      <c r="V343" s="106"/>
      <c r="W343" s="73" t="s">
        <v>2633</v>
      </c>
      <c r="X343" s="73">
        <v>1</v>
      </c>
      <c r="Y343" s="73">
        <v>3</v>
      </c>
      <c r="Z343" s="73"/>
      <c r="AA343" s="112"/>
      <c r="AB343" s="118"/>
      <c r="AC343" s="106"/>
      <c r="AD343" s="106"/>
      <c r="AE343" s="2"/>
      <c r="AF343" s="2"/>
    </row>
    <row r="344" spans="1:32" outlineLevel="1">
      <c r="A344" s="106">
        <v>343</v>
      </c>
      <c r="B344" s="73" t="s">
        <v>403</v>
      </c>
      <c r="C344" s="73" t="s">
        <v>1897</v>
      </c>
      <c r="D344" s="216"/>
      <c r="E344" s="226" t="s">
        <v>2325</v>
      </c>
      <c r="F344" s="218"/>
      <c r="G344" s="75"/>
      <c r="H344" s="75"/>
      <c r="I344" s="75" t="s">
        <v>2326</v>
      </c>
      <c r="J344" s="76"/>
      <c r="K344" s="77" t="s">
        <v>1592</v>
      </c>
      <c r="L344" s="107"/>
      <c r="M344" s="108"/>
      <c r="N344" s="181"/>
      <c r="O344" s="119" t="s">
        <v>34</v>
      </c>
      <c r="P344" s="120">
        <v>46181</v>
      </c>
      <c r="Q344" s="173" t="s">
        <v>1566</v>
      </c>
      <c r="R344" s="109"/>
      <c r="S344" s="109"/>
      <c r="T344" s="106"/>
      <c r="U344" s="106"/>
      <c r="V344" s="106"/>
      <c r="W344" s="73" t="s">
        <v>2628</v>
      </c>
      <c r="X344" s="73">
        <v>1</v>
      </c>
      <c r="Y344" s="73">
        <v>3</v>
      </c>
      <c r="Z344" s="73"/>
      <c r="AA344" s="112"/>
      <c r="AB344" s="118"/>
      <c r="AC344" s="106"/>
      <c r="AD344" s="106"/>
      <c r="AE344" s="2"/>
      <c r="AF344" s="2"/>
    </row>
    <row r="345" spans="1:32" outlineLevel="1">
      <c r="A345" s="106">
        <v>344</v>
      </c>
      <c r="B345" s="73" t="s">
        <v>2327</v>
      </c>
      <c r="C345" s="73" t="s">
        <v>1897</v>
      </c>
      <c r="D345" s="216"/>
      <c r="E345" s="226" t="s">
        <v>2328</v>
      </c>
      <c r="F345" s="218"/>
      <c r="G345" s="75"/>
      <c r="H345" s="75"/>
      <c r="I345" s="75" t="s">
        <v>2329</v>
      </c>
      <c r="J345" s="76"/>
      <c r="K345" s="77" t="s">
        <v>1592</v>
      </c>
      <c r="L345" s="107"/>
      <c r="M345" s="108"/>
      <c r="N345" s="181"/>
      <c r="O345" s="119" t="s">
        <v>34</v>
      </c>
      <c r="P345" s="120">
        <v>46181</v>
      </c>
      <c r="Q345" s="173" t="s">
        <v>1566</v>
      </c>
      <c r="R345" s="109"/>
      <c r="S345" s="109"/>
      <c r="T345" s="106"/>
      <c r="U345" s="106"/>
      <c r="V345" s="106"/>
      <c r="W345" s="73" t="s">
        <v>2636</v>
      </c>
      <c r="X345" s="73"/>
      <c r="Y345" s="73">
        <v>1</v>
      </c>
      <c r="Z345" s="73">
        <v>1</v>
      </c>
      <c r="AA345" s="112"/>
      <c r="AB345" s="118"/>
      <c r="AC345" s="106"/>
      <c r="AD345" s="106"/>
      <c r="AE345" s="2"/>
      <c r="AF345" s="2"/>
    </row>
    <row r="346" spans="1:32" outlineLevel="1">
      <c r="A346" s="106">
        <v>345</v>
      </c>
      <c r="B346" s="73" t="s">
        <v>2330</v>
      </c>
      <c r="C346" s="73" t="s">
        <v>1897</v>
      </c>
      <c r="D346" s="216"/>
      <c r="E346" s="226" t="s">
        <v>2331</v>
      </c>
      <c r="F346" s="218"/>
      <c r="G346" s="75"/>
      <c r="H346" s="75"/>
      <c r="I346" s="75" t="s">
        <v>2332</v>
      </c>
      <c r="J346" s="76"/>
      <c r="K346" s="77" t="s">
        <v>1592</v>
      </c>
      <c r="L346" s="107"/>
      <c r="M346" s="108"/>
      <c r="N346" s="181"/>
      <c r="O346" s="119" t="s">
        <v>34</v>
      </c>
      <c r="P346" s="120">
        <v>46181</v>
      </c>
      <c r="Q346" s="173" t="s">
        <v>1566</v>
      </c>
      <c r="R346" s="109"/>
      <c r="S346" s="109"/>
      <c r="T346" s="106"/>
      <c r="U346" s="106"/>
      <c r="V346" s="106"/>
      <c r="W346" s="73" t="s">
        <v>2636</v>
      </c>
      <c r="X346" s="73"/>
      <c r="Y346" s="73">
        <v>1</v>
      </c>
      <c r="Z346" s="73">
        <v>1</v>
      </c>
      <c r="AA346" s="112"/>
      <c r="AB346" s="118"/>
      <c r="AC346" s="106"/>
      <c r="AD346" s="106"/>
      <c r="AE346" s="2"/>
      <c r="AF346" s="2"/>
    </row>
    <row r="347" spans="1:32" outlineLevel="1">
      <c r="A347" s="106">
        <v>346</v>
      </c>
      <c r="B347" s="73" t="s">
        <v>2333</v>
      </c>
      <c r="C347" s="73" t="s">
        <v>1897</v>
      </c>
      <c r="D347" s="216"/>
      <c r="E347" s="226" t="s">
        <v>2334</v>
      </c>
      <c r="F347" s="218"/>
      <c r="G347" s="75"/>
      <c r="H347" s="75"/>
      <c r="I347" s="75" t="s">
        <v>2335</v>
      </c>
      <c r="J347" s="76"/>
      <c r="K347" s="77" t="s">
        <v>1592</v>
      </c>
      <c r="L347" s="107"/>
      <c r="M347" s="108"/>
      <c r="N347" s="181"/>
      <c r="O347" s="119" t="s">
        <v>34</v>
      </c>
      <c r="P347" s="120">
        <v>46181</v>
      </c>
      <c r="Q347" s="173" t="s">
        <v>1566</v>
      </c>
      <c r="R347" s="109"/>
      <c r="S347" s="109"/>
      <c r="T347" s="106"/>
      <c r="U347" s="106"/>
      <c r="V347" s="106"/>
      <c r="W347" s="73" t="s">
        <v>2626</v>
      </c>
      <c r="X347" s="73"/>
      <c r="Y347" s="73">
        <v>1</v>
      </c>
      <c r="Z347" s="73">
        <v>1</v>
      </c>
      <c r="AA347" s="112"/>
      <c r="AB347" s="118"/>
      <c r="AC347" s="106"/>
      <c r="AD347" s="106"/>
      <c r="AE347" s="2"/>
      <c r="AF347" s="2"/>
    </row>
    <row r="348" spans="1:32" outlineLevel="1">
      <c r="A348" s="106">
        <v>347</v>
      </c>
      <c r="B348" s="73" t="s">
        <v>2336</v>
      </c>
      <c r="C348" s="73" t="s">
        <v>1897</v>
      </c>
      <c r="D348" s="216"/>
      <c r="E348" s="226" t="s">
        <v>2337</v>
      </c>
      <c r="F348" s="218"/>
      <c r="G348" s="75"/>
      <c r="H348" s="75"/>
      <c r="I348" s="75" t="s">
        <v>2338</v>
      </c>
      <c r="J348" s="76"/>
      <c r="K348" s="77" t="s">
        <v>1592</v>
      </c>
      <c r="L348" s="107"/>
      <c r="M348" s="108"/>
      <c r="N348" s="181"/>
      <c r="O348" s="119" t="s">
        <v>34</v>
      </c>
      <c r="P348" s="120">
        <v>46181</v>
      </c>
      <c r="Q348" s="173" t="s">
        <v>1566</v>
      </c>
      <c r="R348" s="109"/>
      <c r="S348" s="109"/>
      <c r="T348" s="106"/>
      <c r="U348" s="106"/>
      <c r="V348" s="106"/>
      <c r="W348" s="73" t="s">
        <v>2635</v>
      </c>
      <c r="X348" s="73"/>
      <c r="Y348" s="73">
        <v>1</v>
      </c>
      <c r="Z348" s="73">
        <v>1</v>
      </c>
      <c r="AA348" s="112"/>
      <c r="AB348" s="118"/>
      <c r="AC348" s="106"/>
      <c r="AD348" s="106"/>
      <c r="AE348" s="2"/>
      <c r="AF348" s="2"/>
    </row>
    <row r="349" spans="1:32" outlineLevel="1">
      <c r="A349" s="106">
        <v>348</v>
      </c>
      <c r="B349" s="74" t="s">
        <v>2339</v>
      </c>
      <c r="C349" s="74" t="s">
        <v>2340</v>
      </c>
      <c r="D349" s="216"/>
      <c r="E349" s="226" t="s">
        <v>2341</v>
      </c>
      <c r="F349" s="218"/>
      <c r="G349" s="75" t="s">
        <v>2342</v>
      </c>
      <c r="H349" s="75"/>
      <c r="I349" s="75"/>
      <c r="J349" s="92" t="s">
        <v>2276</v>
      </c>
      <c r="K349" s="77" t="s">
        <v>1592</v>
      </c>
      <c r="L349" s="131"/>
      <c r="M349" s="132"/>
      <c r="N349" s="185"/>
      <c r="O349" s="133"/>
      <c r="P349" s="133"/>
      <c r="Q349" s="134"/>
      <c r="R349" s="133"/>
      <c r="S349" s="133"/>
      <c r="T349" s="106"/>
      <c r="U349" s="106"/>
      <c r="V349" s="106"/>
      <c r="W349" s="73" t="s">
        <v>2633</v>
      </c>
      <c r="X349" s="73">
        <v>1</v>
      </c>
      <c r="Y349" s="73">
        <v>1</v>
      </c>
      <c r="Z349" s="73"/>
      <c r="AA349" s="112"/>
      <c r="AB349" s="118"/>
      <c r="AC349" s="106"/>
      <c r="AD349" s="106"/>
      <c r="AE349" s="2"/>
      <c r="AF349" s="2"/>
    </row>
    <row r="350" spans="1:32" outlineLevel="1">
      <c r="A350" s="106">
        <v>349</v>
      </c>
      <c r="B350" s="74" t="s">
        <v>2343</v>
      </c>
      <c r="C350" s="74" t="s">
        <v>2340</v>
      </c>
      <c r="D350" s="216"/>
      <c r="E350" s="226" t="s">
        <v>2344</v>
      </c>
      <c r="F350" s="218"/>
      <c r="G350" s="75"/>
      <c r="H350" s="75" t="s">
        <v>2345</v>
      </c>
      <c r="I350" s="75"/>
      <c r="J350" s="93" t="s">
        <v>2276</v>
      </c>
      <c r="K350" s="77" t="s">
        <v>1592</v>
      </c>
      <c r="L350" s="131"/>
      <c r="M350" s="132"/>
      <c r="N350" s="185"/>
      <c r="O350" s="133"/>
      <c r="P350" s="133"/>
      <c r="Q350" s="134"/>
      <c r="R350" s="133"/>
      <c r="S350" s="133"/>
      <c r="T350" s="106"/>
      <c r="U350" s="106"/>
      <c r="V350" s="106"/>
      <c r="W350" s="73" t="s">
        <v>2636</v>
      </c>
      <c r="X350" s="73"/>
      <c r="Y350" s="73">
        <v>1</v>
      </c>
      <c r="Z350" s="73">
        <v>1</v>
      </c>
      <c r="AA350" s="112"/>
      <c r="AB350" s="118"/>
      <c r="AC350" s="106"/>
      <c r="AD350" s="106"/>
      <c r="AE350" s="2"/>
      <c r="AF350" s="2"/>
    </row>
    <row r="351" spans="1:32" outlineLevel="1">
      <c r="A351" s="106">
        <v>350</v>
      </c>
      <c r="B351" s="73" t="s">
        <v>2346</v>
      </c>
      <c r="C351" s="73" t="s">
        <v>1897</v>
      </c>
      <c r="D351" s="216"/>
      <c r="E351" s="215" t="s">
        <v>2347</v>
      </c>
      <c r="F351" s="218"/>
      <c r="G351" s="75" t="s">
        <v>404</v>
      </c>
      <c r="H351" s="75"/>
      <c r="I351" s="75"/>
      <c r="J351" s="76"/>
      <c r="K351" s="77" t="s">
        <v>1592</v>
      </c>
      <c r="L351" s="107"/>
      <c r="M351" s="108"/>
      <c r="N351" s="181"/>
      <c r="O351" s="119" t="s">
        <v>34</v>
      </c>
      <c r="P351" s="120">
        <v>46181</v>
      </c>
      <c r="Q351" s="173" t="s">
        <v>1566</v>
      </c>
      <c r="R351" s="109"/>
      <c r="S351" s="109"/>
      <c r="T351" s="106"/>
      <c r="U351" s="106"/>
      <c r="V351" s="106"/>
      <c r="W351" s="73" t="s">
        <v>2634</v>
      </c>
      <c r="X351" s="73">
        <v>1</v>
      </c>
      <c r="Y351" s="73">
        <v>1</v>
      </c>
      <c r="Z351" s="73"/>
      <c r="AA351" s="112"/>
      <c r="AB351" s="129"/>
      <c r="AC351" s="106"/>
      <c r="AD351" s="106"/>
      <c r="AE351" s="2"/>
      <c r="AF351" s="2"/>
    </row>
    <row r="352" spans="1:32" outlineLevel="1">
      <c r="A352" s="106">
        <v>351</v>
      </c>
      <c r="B352" s="73" t="s">
        <v>1758</v>
      </c>
      <c r="C352" s="73"/>
      <c r="D352" s="216"/>
      <c r="E352" s="227" t="s">
        <v>2348</v>
      </c>
      <c r="F352" s="218"/>
      <c r="G352" s="75"/>
      <c r="H352" s="75" t="s">
        <v>1724</v>
      </c>
      <c r="I352" s="75"/>
      <c r="J352" s="76"/>
      <c r="K352" s="73"/>
      <c r="L352" s="113"/>
      <c r="M352" s="114"/>
      <c r="N352" s="182"/>
      <c r="O352" s="115"/>
      <c r="P352" s="115"/>
      <c r="Q352" s="116"/>
      <c r="R352" s="115"/>
      <c r="S352" s="115"/>
      <c r="T352" s="106"/>
      <c r="U352" s="106"/>
      <c r="V352" s="106"/>
      <c r="W352" s="73"/>
      <c r="X352" s="73"/>
      <c r="Y352" s="73"/>
      <c r="Z352" s="73"/>
      <c r="AA352" s="112"/>
      <c r="AB352" s="129"/>
      <c r="AC352" s="106"/>
      <c r="AD352" s="106"/>
      <c r="AE352" s="2"/>
      <c r="AF352" s="2"/>
    </row>
    <row r="353" spans="1:32" outlineLevel="1">
      <c r="A353" s="106">
        <v>352</v>
      </c>
      <c r="B353" s="73" t="s">
        <v>2349</v>
      </c>
      <c r="C353" s="73" t="s">
        <v>1897</v>
      </c>
      <c r="D353" s="216"/>
      <c r="E353" s="232" t="s">
        <v>2350</v>
      </c>
      <c r="F353" s="218"/>
      <c r="G353" s="75"/>
      <c r="H353" s="75" t="s">
        <v>405</v>
      </c>
      <c r="I353" s="75" t="s">
        <v>2351</v>
      </c>
      <c r="J353" s="76"/>
      <c r="K353" s="77" t="s">
        <v>1592</v>
      </c>
      <c r="L353" s="107"/>
      <c r="M353" s="108"/>
      <c r="N353" s="181"/>
      <c r="O353" s="119" t="s">
        <v>34</v>
      </c>
      <c r="P353" s="120">
        <v>46181</v>
      </c>
      <c r="Q353" s="173" t="s">
        <v>1566</v>
      </c>
      <c r="R353" s="109"/>
      <c r="S353" s="109"/>
      <c r="T353" s="106"/>
      <c r="U353" s="106"/>
      <c r="V353" s="106"/>
      <c r="W353" s="73" t="s">
        <v>2631</v>
      </c>
      <c r="X353" s="73">
        <v>1</v>
      </c>
      <c r="Y353" s="73">
        <v>3</v>
      </c>
      <c r="Z353" s="73"/>
      <c r="AA353" s="111" t="s">
        <v>406</v>
      </c>
      <c r="AB353" s="118"/>
      <c r="AC353" s="106"/>
      <c r="AD353" s="106"/>
      <c r="AE353" s="2"/>
      <c r="AF353" s="2"/>
    </row>
    <row r="354" spans="1:32" ht="24" outlineLevel="1">
      <c r="A354" s="106">
        <v>353</v>
      </c>
      <c r="B354" s="73" t="s">
        <v>407</v>
      </c>
      <c r="C354" s="73" t="s">
        <v>1897</v>
      </c>
      <c r="D354" s="216"/>
      <c r="E354" s="233" t="s">
        <v>2352</v>
      </c>
      <c r="F354" s="218"/>
      <c r="G354" s="75"/>
      <c r="H354" s="75"/>
      <c r="I354" s="75" t="s">
        <v>2353</v>
      </c>
      <c r="J354" s="76"/>
      <c r="K354" s="77" t="s">
        <v>1592</v>
      </c>
      <c r="L354" s="107"/>
      <c r="M354" s="108"/>
      <c r="N354" s="181"/>
      <c r="O354" s="119" t="s">
        <v>34</v>
      </c>
      <c r="P354" s="120">
        <v>46181</v>
      </c>
      <c r="Q354" s="173" t="s">
        <v>1566</v>
      </c>
      <c r="R354" s="109"/>
      <c r="S354" s="109"/>
      <c r="T354" s="106"/>
      <c r="U354" s="106"/>
      <c r="V354" s="106"/>
      <c r="W354" s="73" t="s">
        <v>2634</v>
      </c>
      <c r="X354" s="73">
        <v>1</v>
      </c>
      <c r="Y354" s="73">
        <v>3</v>
      </c>
      <c r="Z354" s="73"/>
      <c r="AA354" s="112"/>
      <c r="AB354" s="118"/>
      <c r="AC354" s="106"/>
      <c r="AD354" s="106"/>
      <c r="AE354" s="2"/>
      <c r="AF354" s="2"/>
    </row>
    <row r="355" spans="1:32" ht="24" outlineLevel="1">
      <c r="A355" s="106">
        <v>354</v>
      </c>
      <c r="B355" s="73" t="s">
        <v>408</v>
      </c>
      <c r="C355" s="73" t="s">
        <v>1897</v>
      </c>
      <c r="D355" s="216"/>
      <c r="E355" s="234" t="s">
        <v>2354</v>
      </c>
      <c r="F355" s="218"/>
      <c r="G355" s="75"/>
      <c r="H355" s="75"/>
      <c r="I355" s="75" t="s">
        <v>2355</v>
      </c>
      <c r="J355" s="76"/>
      <c r="K355" s="77" t="s">
        <v>1592</v>
      </c>
      <c r="L355" s="107"/>
      <c r="M355" s="108"/>
      <c r="N355" s="181"/>
      <c r="O355" s="119" t="s">
        <v>34</v>
      </c>
      <c r="P355" s="120">
        <v>46181</v>
      </c>
      <c r="Q355" s="173" t="s">
        <v>1566</v>
      </c>
      <c r="R355" s="109"/>
      <c r="S355" s="109"/>
      <c r="T355" s="106"/>
      <c r="U355" s="106"/>
      <c r="V355" s="106"/>
      <c r="W355" s="73" t="s">
        <v>2633</v>
      </c>
      <c r="X355" s="73">
        <v>1</v>
      </c>
      <c r="Y355" s="73">
        <v>3</v>
      </c>
      <c r="Z355" s="73"/>
      <c r="AA355" s="111" t="s">
        <v>401</v>
      </c>
      <c r="AB355" s="118"/>
      <c r="AC355" s="106"/>
      <c r="AD355" s="106"/>
      <c r="AE355" s="2"/>
      <c r="AF355" s="2"/>
    </row>
    <row r="356" spans="1:32" outlineLevel="1">
      <c r="A356" s="106">
        <v>355</v>
      </c>
      <c r="B356" s="73" t="s">
        <v>409</v>
      </c>
      <c r="C356" s="73" t="s">
        <v>1897</v>
      </c>
      <c r="D356" s="216"/>
      <c r="E356" s="234" t="s">
        <v>2356</v>
      </c>
      <c r="F356" s="218"/>
      <c r="G356" s="75"/>
      <c r="H356" s="75"/>
      <c r="I356" s="75" t="s">
        <v>2357</v>
      </c>
      <c r="J356" s="76"/>
      <c r="K356" s="77" t="s">
        <v>1592</v>
      </c>
      <c r="L356" s="107"/>
      <c r="M356" s="108"/>
      <c r="N356" s="181"/>
      <c r="O356" s="119" t="s">
        <v>34</v>
      </c>
      <c r="P356" s="120">
        <v>46181</v>
      </c>
      <c r="Q356" s="173" t="s">
        <v>1566</v>
      </c>
      <c r="R356" s="109"/>
      <c r="S356" s="109"/>
      <c r="T356" s="106"/>
      <c r="U356" s="106"/>
      <c r="V356" s="106"/>
      <c r="W356" s="73" t="s">
        <v>2629</v>
      </c>
      <c r="X356" s="73">
        <v>1</v>
      </c>
      <c r="Y356" s="73">
        <v>3</v>
      </c>
      <c r="Z356" s="73"/>
      <c r="AA356" s="111" t="s">
        <v>410</v>
      </c>
      <c r="AB356" s="118"/>
      <c r="AC356" s="106"/>
      <c r="AD356" s="106"/>
      <c r="AE356" s="2"/>
      <c r="AF356" s="2"/>
    </row>
    <row r="357" spans="1:32" outlineLevel="1">
      <c r="A357" s="106">
        <v>356</v>
      </c>
      <c r="B357" s="73" t="s">
        <v>2358</v>
      </c>
      <c r="C357" s="73" t="s">
        <v>1897</v>
      </c>
      <c r="D357" s="216"/>
      <c r="E357" s="234" t="s">
        <v>2359</v>
      </c>
      <c r="F357" s="218"/>
      <c r="G357" s="75"/>
      <c r="H357" s="75"/>
      <c r="I357" s="75" t="s">
        <v>2360</v>
      </c>
      <c r="J357" s="76"/>
      <c r="K357" s="77" t="s">
        <v>1592</v>
      </c>
      <c r="L357" s="107"/>
      <c r="M357" s="108"/>
      <c r="N357" s="181"/>
      <c r="O357" s="119" t="s">
        <v>34</v>
      </c>
      <c r="P357" s="120">
        <v>46181</v>
      </c>
      <c r="Q357" s="173" t="s">
        <v>1566</v>
      </c>
      <c r="R357" s="109"/>
      <c r="S357" s="109"/>
      <c r="T357" s="106"/>
      <c r="U357" s="106"/>
      <c r="V357" s="106"/>
      <c r="W357" s="73" t="s">
        <v>2634</v>
      </c>
      <c r="X357" s="73">
        <v>1</v>
      </c>
      <c r="Y357" s="73">
        <v>2</v>
      </c>
      <c r="Z357" s="73"/>
      <c r="AA357" s="112"/>
      <c r="AB357" s="118"/>
      <c r="AC357" s="106"/>
      <c r="AD357" s="106"/>
      <c r="AE357" s="2"/>
      <c r="AF357" s="2"/>
    </row>
    <row r="358" spans="1:32" outlineLevel="1">
      <c r="A358" s="106">
        <v>357</v>
      </c>
      <c r="B358" s="73"/>
      <c r="C358" s="87" t="s">
        <v>1883</v>
      </c>
      <c r="D358" s="216" t="s">
        <v>2293</v>
      </c>
      <c r="E358" s="75"/>
      <c r="F358" s="218" t="s">
        <v>2295</v>
      </c>
      <c r="G358" s="75" t="s">
        <v>2296</v>
      </c>
      <c r="H358" s="75"/>
      <c r="I358" s="75"/>
      <c r="J358" s="76"/>
      <c r="K358" s="73"/>
      <c r="L358" s="113"/>
      <c r="M358" s="114"/>
      <c r="N358" s="182"/>
      <c r="O358" s="115"/>
      <c r="P358" s="115"/>
      <c r="Q358" s="116"/>
      <c r="R358" s="115"/>
      <c r="S358" s="115"/>
      <c r="T358" s="106"/>
      <c r="U358" s="106"/>
      <c r="V358" s="106"/>
      <c r="W358" s="73"/>
      <c r="X358" s="73"/>
      <c r="Y358" s="73"/>
      <c r="Z358" s="73"/>
      <c r="AA358" s="111" t="s">
        <v>411</v>
      </c>
      <c r="AB358" s="118"/>
      <c r="AC358" s="106"/>
      <c r="AD358" s="106"/>
      <c r="AE358" s="2"/>
      <c r="AF358" s="2"/>
    </row>
    <row r="359" spans="1:32" outlineLevel="1">
      <c r="A359" s="106">
        <v>358</v>
      </c>
      <c r="B359" s="73" t="s">
        <v>2361</v>
      </c>
      <c r="C359" s="73" t="s">
        <v>1891</v>
      </c>
      <c r="D359" s="216"/>
      <c r="E359" s="215" t="s">
        <v>2362</v>
      </c>
      <c r="F359" s="218"/>
      <c r="G359" s="75"/>
      <c r="H359" s="75" t="s">
        <v>2363</v>
      </c>
      <c r="I359" s="75" t="s">
        <v>2364</v>
      </c>
      <c r="J359" s="76"/>
      <c r="K359" s="77" t="s">
        <v>1592</v>
      </c>
      <c r="L359" s="107"/>
      <c r="M359" s="108"/>
      <c r="N359" s="181"/>
      <c r="O359" s="119" t="s">
        <v>34</v>
      </c>
      <c r="P359" s="120">
        <v>46181</v>
      </c>
      <c r="Q359" s="173" t="s">
        <v>1566</v>
      </c>
      <c r="R359" s="109"/>
      <c r="S359" s="109"/>
      <c r="T359" s="106"/>
      <c r="U359" s="106"/>
      <c r="V359" s="106"/>
      <c r="W359" s="73" t="s">
        <v>2631</v>
      </c>
      <c r="X359" s="73">
        <v>1</v>
      </c>
      <c r="Y359" s="73">
        <v>1</v>
      </c>
      <c r="Z359" s="73"/>
      <c r="AA359" s="111" t="s">
        <v>412</v>
      </c>
      <c r="AB359" s="118"/>
      <c r="AC359" s="106"/>
      <c r="AD359" s="106"/>
      <c r="AE359" s="2"/>
      <c r="AF359" s="2"/>
    </row>
    <row r="360" spans="1:32" outlineLevel="1">
      <c r="A360" s="106">
        <v>359</v>
      </c>
      <c r="B360" s="73" t="s">
        <v>2365</v>
      </c>
      <c r="C360" s="73" t="s">
        <v>1891</v>
      </c>
      <c r="D360" s="216"/>
      <c r="E360" s="226" t="s">
        <v>2366</v>
      </c>
      <c r="F360" s="218"/>
      <c r="G360" s="75"/>
      <c r="H360" s="75"/>
      <c r="I360" s="75" t="s">
        <v>2367</v>
      </c>
      <c r="J360" s="76"/>
      <c r="K360" s="77" t="s">
        <v>1592</v>
      </c>
      <c r="L360" s="107"/>
      <c r="M360" s="108"/>
      <c r="N360" s="181"/>
      <c r="O360" s="119" t="s">
        <v>34</v>
      </c>
      <c r="P360" s="120">
        <v>46181</v>
      </c>
      <c r="Q360" s="173" t="s">
        <v>1566</v>
      </c>
      <c r="R360" s="109"/>
      <c r="S360" s="109"/>
      <c r="T360" s="106"/>
      <c r="U360" s="106"/>
      <c r="V360" s="106"/>
      <c r="W360" s="73" t="s">
        <v>2631</v>
      </c>
      <c r="X360" s="73">
        <v>1</v>
      </c>
      <c r="Y360" s="73">
        <v>1</v>
      </c>
      <c r="Z360" s="73"/>
      <c r="AA360" s="111" t="s">
        <v>413</v>
      </c>
      <c r="AB360" s="118"/>
      <c r="AC360" s="106"/>
      <c r="AD360" s="106"/>
      <c r="AE360" s="2"/>
      <c r="AF360" s="2"/>
    </row>
    <row r="361" spans="1:32" outlineLevel="1">
      <c r="A361" s="106">
        <v>360</v>
      </c>
      <c r="B361" s="73" t="s">
        <v>2368</v>
      </c>
      <c r="C361" s="73" t="s">
        <v>1891</v>
      </c>
      <c r="D361" s="216"/>
      <c r="E361" s="226" t="s">
        <v>2369</v>
      </c>
      <c r="F361" s="218"/>
      <c r="G361" s="75"/>
      <c r="H361" s="75"/>
      <c r="I361" s="75" t="s">
        <v>2370</v>
      </c>
      <c r="J361" s="76"/>
      <c r="K361" s="77" t="s">
        <v>1592</v>
      </c>
      <c r="L361" s="107"/>
      <c r="M361" s="108"/>
      <c r="N361" s="181">
        <v>46178</v>
      </c>
      <c r="O361" s="119" t="s">
        <v>34</v>
      </c>
      <c r="P361" s="120">
        <v>46181</v>
      </c>
      <c r="Q361" s="173" t="s">
        <v>1566</v>
      </c>
      <c r="R361" s="109"/>
      <c r="S361" s="109"/>
      <c r="T361" s="106"/>
      <c r="U361" s="106"/>
      <c r="V361" s="106"/>
      <c r="W361" s="73" t="s">
        <v>2634</v>
      </c>
      <c r="X361" s="73">
        <v>1</v>
      </c>
      <c r="Y361" s="73">
        <v>1</v>
      </c>
      <c r="Z361" s="73"/>
      <c r="AA361" s="111" t="s">
        <v>414</v>
      </c>
      <c r="AB361" s="118"/>
      <c r="AC361" s="106"/>
      <c r="AD361" s="106"/>
      <c r="AE361" s="2"/>
      <c r="AF361" s="2"/>
    </row>
    <row r="362" spans="1:32" outlineLevel="1">
      <c r="A362" s="106">
        <v>361</v>
      </c>
      <c r="B362" s="73" t="s">
        <v>415</v>
      </c>
      <c r="C362" s="73" t="s">
        <v>1891</v>
      </c>
      <c r="D362" s="216"/>
      <c r="E362" s="226" t="s">
        <v>2371</v>
      </c>
      <c r="F362" s="218"/>
      <c r="G362" s="75"/>
      <c r="H362" s="75"/>
      <c r="I362" s="75" t="s">
        <v>2372</v>
      </c>
      <c r="J362" s="76"/>
      <c r="K362" s="77" t="s">
        <v>1592</v>
      </c>
      <c r="L362" s="107"/>
      <c r="M362" s="108"/>
      <c r="N362" s="181">
        <v>46178</v>
      </c>
      <c r="O362" s="119" t="s">
        <v>34</v>
      </c>
      <c r="P362" s="120">
        <v>46181</v>
      </c>
      <c r="Q362" s="173" t="s">
        <v>1566</v>
      </c>
      <c r="R362" s="109"/>
      <c r="S362" s="109"/>
      <c r="T362" s="106"/>
      <c r="U362" s="106"/>
      <c r="V362" s="106"/>
      <c r="W362" s="73" t="s">
        <v>2634</v>
      </c>
      <c r="X362" s="73">
        <v>1</v>
      </c>
      <c r="Y362" s="73">
        <v>1</v>
      </c>
      <c r="Z362" s="73"/>
      <c r="AA362" s="111" t="s">
        <v>416</v>
      </c>
      <c r="AB362" s="118"/>
      <c r="AC362" s="106"/>
      <c r="AD362" s="106"/>
      <c r="AE362" s="2"/>
      <c r="AF362" s="2"/>
    </row>
    <row r="363" spans="1:32" outlineLevel="1">
      <c r="A363" s="106">
        <v>362</v>
      </c>
      <c r="B363" s="73" t="s">
        <v>417</v>
      </c>
      <c r="C363" s="73" t="s">
        <v>1891</v>
      </c>
      <c r="D363" s="216"/>
      <c r="E363" s="226" t="s">
        <v>2373</v>
      </c>
      <c r="F363" s="218"/>
      <c r="G363" s="75"/>
      <c r="H363" s="75"/>
      <c r="I363" s="75" t="s">
        <v>2374</v>
      </c>
      <c r="J363" s="76"/>
      <c r="K363" s="77" t="s">
        <v>1592</v>
      </c>
      <c r="L363" s="107"/>
      <c r="M363" s="108"/>
      <c r="N363" s="181">
        <v>46178</v>
      </c>
      <c r="O363" s="119" t="s">
        <v>34</v>
      </c>
      <c r="P363" s="120">
        <v>46181</v>
      </c>
      <c r="Q363" s="173" t="s">
        <v>1566</v>
      </c>
      <c r="R363" s="109"/>
      <c r="S363" s="109"/>
      <c r="T363" s="106"/>
      <c r="U363" s="106"/>
      <c r="V363" s="106"/>
      <c r="W363" s="73" t="s">
        <v>2634</v>
      </c>
      <c r="X363" s="73">
        <v>1</v>
      </c>
      <c r="Y363" s="73">
        <v>1</v>
      </c>
      <c r="Z363" s="73"/>
      <c r="AA363" s="111" t="s">
        <v>418</v>
      </c>
      <c r="AB363" s="118"/>
      <c r="AC363" s="106"/>
      <c r="AD363" s="106"/>
      <c r="AE363" s="2"/>
      <c r="AF363" s="2"/>
    </row>
    <row r="364" spans="1:32" ht="22.5" outlineLevel="1">
      <c r="A364" s="106">
        <v>363</v>
      </c>
      <c r="B364" s="73" t="s">
        <v>2375</v>
      </c>
      <c r="C364" s="87" t="s">
        <v>1883</v>
      </c>
      <c r="D364" s="216"/>
      <c r="E364" s="226" t="s">
        <v>2376</v>
      </c>
      <c r="F364" s="218"/>
      <c r="G364" s="75"/>
      <c r="H364" s="75"/>
      <c r="I364" s="75" t="s">
        <v>1918</v>
      </c>
      <c r="J364" s="76"/>
      <c r="K364" s="77" t="s">
        <v>1592</v>
      </c>
      <c r="L364" s="107"/>
      <c r="M364" s="108"/>
      <c r="N364" s="181"/>
      <c r="O364" s="119" t="s">
        <v>34</v>
      </c>
      <c r="P364" s="120">
        <v>46181</v>
      </c>
      <c r="Q364" s="173" t="s">
        <v>1566</v>
      </c>
      <c r="R364" s="109"/>
      <c r="S364" s="109"/>
      <c r="T364" s="106"/>
      <c r="U364" s="106"/>
      <c r="V364" s="106"/>
      <c r="W364" s="73" t="s">
        <v>2633</v>
      </c>
      <c r="X364" s="73">
        <v>1</v>
      </c>
      <c r="Y364" s="73">
        <v>1</v>
      </c>
      <c r="Z364" s="73"/>
      <c r="AA364" s="111" t="s">
        <v>419</v>
      </c>
      <c r="AB364" s="118"/>
      <c r="AC364" s="106"/>
      <c r="AD364" s="106"/>
      <c r="AE364" s="2"/>
      <c r="AF364" s="2"/>
    </row>
    <row r="365" spans="1:32" outlineLevel="1">
      <c r="A365" s="106">
        <v>364</v>
      </c>
      <c r="B365" s="73" t="s">
        <v>2377</v>
      </c>
      <c r="C365" s="73" t="s">
        <v>1891</v>
      </c>
      <c r="D365" s="216"/>
      <c r="E365" s="226" t="s">
        <v>2378</v>
      </c>
      <c r="F365" s="218"/>
      <c r="G365" s="75"/>
      <c r="H365" s="75" t="s">
        <v>2379</v>
      </c>
      <c r="I365" s="75"/>
      <c r="J365" s="76"/>
      <c r="K365" s="77" t="s">
        <v>1592</v>
      </c>
      <c r="L365" s="107"/>
      <c r="M365" s="108"/>
      <c r="N365" s="181"/>
      <c r="O365" s="119" t="s">
        <v>34</v>
      </c>
      <c r="P365" s="120">
        <v>46181</v>
      </c>
      <c r="Q365" s="173" t="s">
        <v>1566</v>
      </c>
      <c r="R365" s="109"/>
      <c r="S365" s="109"/>
      <c r="T365" s="106"/>
      <c r="U365" s="106"/>
      <c r="V365" s="106"/>
      <c r="W365" s="73" t="s">
        <v>2633</v>
      </c>
      <c r="X365" s="73">
        <v>1</v>
      </c>
      <c r="Y365" s="73">
        <v>3</v>
      </c>
      <c r="Z365" s="73"/>
      <c r="AA365" s="111" t="s">
        <v>420</v>
      </c>
      <c r="AB365" s="118"/>
      <c r="AC365" s="106"/>
      <c r="AD365" s="106"/>
      <c r="AE365" s="2"/>
      <c r="AF365" s="2"/>
    </row>
    <row r="366" spans="1:32" outlineLevel="1">
      <c r="A366" s="106">
        <v>365</v>
      </c>
      <c r="B366" s="73" t="s">
        <v>2380</v>
      </c>
      <c r="C366" s="73" t="s">
        <v>1891</v>
      </c>
      <c r="D366" s="216"/>
      <c r="E366" s="226" t="s">
        <v>2381</v>
      </c>
      <c r="F366" s="218"/>
      <c r="G366" s="75"/>
      <c r="H366" s="75"/>
      <c r="I366" s="75" t="s">
        <v>2382</v>
      </c>
      <c r="J366" s="76"/>
      <c r="K366" s="77" t="s">
        <v>1592</v>
      </c>
      <c r="L366" s="107"/>
      <c r="M366" s="108"/>
      <c r="N366" s="181"/>
      <c r="O366" s="119" t="s">
        <v>34</v>
      </c>
      <c r="P366" s="120">
        <v>46181</v>
      </c>
      <c r="Q366" s="173" t="s">
        <v>1566</v>
      </c>
      <c r="R366" s="109"/>
      <c r="S366" s="109"/>
      <c r="T366" s="106"/>
      <c r="U366" s="106"/>
      <c r="V366" s="106"/>
      <c r="W366" s="73" t="s">
        <v>2635</v>
      </c>
      <c r="X366" s="73"/>
      <c r="Y366" s="73">
        <v>1</v>
      </c>
      <c r="Z366" s="73">
        <v>1</v>
      </c>
      <c r="AA366" s="111" t="s">
        <v>421</v>
      </c>
      <c r="AB366" s="118"/>
      <c r="AC366" s="106"/>
      <c r="AD366" s="106"/>
      <c r="AE366" s="2"/>
      <c r="AF366" s="2"/>
    </row>
    <row r="367" spans="1:32" s="101" customFormat="1">
      <c r="A367" s="106">
        <v>366</v>
      </c>
      <c r="B367" s="83"/>
      <c r="C367" s="83"/>
      <c r="D367" s="220"/>
      <c r="E367" s="84"/>
      <c r="F367" s="221"/>
      <c r="G367" s="84"/>
      <c r="H367" s="84"/>
      <c r="I367" s="84"/>
      <c r="J367" s="84"/>
      <c r="K367" s="83"/>
      <c r="L367" s="121"/>
      <c r="M367" s="122"/>
      <c r="N367" s="183"/>
      <c r="O367" s="123"/>
      <c r="P367" s="123"/>
      <c r="Q367" s="124"/>
      <c r="R367" s="123"/>
      <c r="S367" s="123"/>
      <c r="T367" s="125"/>
      <c r="U367" s="125"/>
      <c r="V367" s="125"/>
      <c r="W367" s="83"/>
      <c r="X367" s="83"/>
      <c r="Y367" s="83"/>
      <c r="Z367" s="83"/>
      <c r="AA367" s="126"/>
      <c r="AB367" s="127"/>
      <c r="AC367" s="125"/>
      <c r="AD367" s="125"/>
      <c r="AE367" s="100"/>
      <c r="AF367" s="100"/>
    </row>
    <row r="368" spans="1:32" outlineLevel="1">
      <c r="A368" s="106">
        <v>367</v>
      </c>
      <c r="B368" s="73" t="s">
        <v>2383</v>
      </c>
      <c r="C368" s="73" t="s">
        <v>1897</v>
      </c>
      <c r="D368" s="216" t="s">
        <v>2384</v>
      </c>
      <c r="E368" s="231" t="s">
        <v>2385</v>
      </c>
      <c r="F368" s="218" t="s">
        <v>2386</v>
      </c>
      <c r="G368" s="75" t="s">
        <v>423</v>
      </c>
      <c r="H368" s="75"/>
      <c r="I368" s="75"/>
      <c r="J368" s="76" t="s">
        <v>2387</v>
      </c>
      <c r="K368" s="77" t="s">
        <v>1592</v>
      </c>
      <c r="L368" s="107"/>
      <c r="M368" s="108"/>
      <c r="N368" s="181"/>
      <c r="O368" s="119" t="s">
        <v>34</v>
      </c>
      <c r="P368" s="120">
        <v>46181</v>
      </c>
      <c r="Q368" s="173" t="s">
        <v>1566</v>
      </c>
      <c r="R368" s="109"/>
      <c r="S368" s="109"/>
      <c r="T368" s="106"/>
      <c r="U368" s="106"/>
      <c r="V368" s="106"/>
      <c r="W368" s="73" t="s">
        <v>2631</v>
      </c>
      <c r="X368" s="73">
        <v>1</v>
      </c>
      <c r="Y368" s="73">
        <v>1</v>
      </c>
      <c r="Z368" s="73"/>
      <c r="AA368" s="112"/>
      <c r="AB368" s="118"/>
      <c r="AC368" s="106"/>
      <c r="AD368" s="106"/>
      <c r="AE368" s="2"/>
      <c r="AF368" s="2"/>
    </row>
    <row r="369" spans="1:32" outlineLevel="1">
      <c r="A369" s="106">
        <v>368</v>
      </c>
      <c r="B369" s="73" t="s">
        <v>1758</v>
      </c>
      <c r="C369" s="73"/>
      <c r="D369" s="216"/>
      <c r="E369" s="231" t="s">
        <v>2388</v>
      </c>
      <c r="F369" s="218"/>
      <c r="G369" s="75"/>
      <c r="H369" s="75" t="s">
        <v>1724</v>
      </c>
      <c r="I369" s="75"/>
      <c r="J369" s="76"/>
      <c r="K369" s="73"/>
      <c r="L369" s="113"/>
      <c r="M369" s="114"/>
      <c r="N369" s="182"/>
      <c r="O369" s="115"/>
      <c r="P369" s="115"/>
      <c r="Q369" s="116"/>
      <c r="R369" s="115"/>
      <c r="S369" s="115"/>
      <c r="T369" s="106"/>
      <c r="U369" s="106"/>
      <c r="V369" s="106"/>
      <c r="W369" s="73"/>
      <c r="X369" s="73"/>
      <c r="Y369" s="73"/>
      <c r="Z369" s="73"/>
      <c r="AA369" s="111" t="s">
        <v>424</v>
      </c>
      <c r="AB369" s="118"/>
      <c r="AC369" s="106"/>
      <c r="AD369" s="106"/>
      <c r="AE369" s="2"/>
      <c r="AF369" s="2"/>
    </row>
    <row r="370" spans="1:32" ht="24" outlineLevel="1">
      <c r="A370" s="106">
        <v>369</v>
      </c>
      <c r="B370" s="73" t="s">
        <v>2389</v>
      </c>
      <c r="C370" s="73" t="s">
        <v>1897</v>
      </c>
      <c r="D370" s="216"/>
      <c r="E370" s="231" t="s">
        <v>2390</v>
      </c>
      <c r="F370" s="218"/>
      <c r="G370" s="75"/>
      <c r="H370" s="75" t="s">
        <v>2391</v>
      </c>
      <c r="I370" s="75"/>
      <c r="J370" s="76"/>
      <c r="K370" s="77" t="s">
        <v>1592</v>
      </c>
      <c r="L370" s="107"/>
      <c r="M370" s="108"/>
      <c r="N370" s="181"/>
      <c r="O370" s="119" t="s">
        <v>34</v>
      </c>
      <c r="P370" s="120">
        <v>46181</v>
      </c>
      <c r="Q370" s="173" t="s">
        <v>1566</v>
      </c>
      <c r="R370" s="109"/>
      <c r="S370" s="109"/>
      <c r="T370" s="106"/>
      <c r="U370" s="106"/>
      <c r="V370" s="106"/>
      <c r="W370" s="73" t="s">
        <v>2628</v>
      </c>
      <c r="X370" s="73">
        <v>1</v>
      </c>
      <c r="Y370" s="73">
        <v>1</v>
      </c>
      <c r="Z370" s="73"/>
      <c r="AA370" s="111" t="s">
        <v>425</v>
      </c>
      <c r="AB370" s="118"/>
      <c r="AC370" s="106"/>
      <c r="AD370" s="106"/>
      <c r="AE370" s="2"/>
      <c r="AF370" s="2"/>
    </row>
    <row r="371" spans="1:32" ht="24" outlineLevel="1">
      <c r="A371" s="106">
        <v>370</v>
      </c>
      <c r="B371" s="73" t="s">
        <v>426</v>
      </c>
      <c r="C371" s="73" t="s">
        <v>1897</v>
      </c>
      <c r="D371" s="216"/>
      <c r="E371" s="231" t="s">
        <v>2392</v>
      </c>
      <c r="F371" s="218"/>
      <c r="G371" s="75"/>
      <c r="H371" s="75" t="s">
        <v>2393</v>
      </c>
      <c r="I371" s="75"/>
      <c r="J371" s="76"/>
      <c r="K371" s="77" t="s">
        <v>1592</v>
      </c>
      <c r="L371" s="107"/>
      <c r="M371" s="108"/>
      <c r="N371" s="181"/>
      <c r="O371" s="119" t="s">
        <v>34</v>
      </c>
      <c r="P371" s="120">
        <v>46181</v>
      </c>
      <c r="Q371" s="173" t="s">
        <v>1566</v>
      </c>
      <c r="R371" s="109"/>
      <c r="S371" s="109"/>
      <c r="T371" s="106"/>
      <c r="U371" s="106"/>
      <c r="V371" s="106"/>
      <c r="W371" s="73" t="s">
        <v>2634</v>
      </c>
      <c r="X371" s="73">
        <v>1</v>
      </c>
      <c r="Y371" s="73">
        <v>1</v>
      </c>
      <c r="Z371" s="73"/>
      <c r="AA371" s="111" t="s">
        <v>425</v>
      </c>
      <c r="AB371" s="118"/>
      <c r="AC371" s="106"/>
      <c r="AD371" s="106"/>
      <c r="AE371" s="2"/>
      <c r="AF371" s="2"/>
    </row>
    <row r="372" spans="1:32" outlineLevel="1">
      <c r="A372" s="106">
        <v>371</v>
      </c>
      <c r="B372" s="73" t="s">
        <v>427</v>
      </c>
      <c r="C372" s="73" t="s">
        <v>1897</v>
      </c>
      <c r="D372" s="216"/>
      <c r="E372" s="231" t="s">
        <v>2394</v>
      </c>
      <c r="F372" s="218"/>
      <c r="G372" s="75"/>
      <c r="H372" s="75" t="s">
        <v>428</v>
      </c>
      <c r="I372" s="75"/>
      <c r="J372" s="76"/>
      <c r="K372" s="77" t="s">
        <v>1592</v>
      </c>
      <c r="L372" s="107"/>
      <c r="M372" s="108"/>
      <c r="N372" s="181"/>
      <c r="O372" s="119" t="s">
        <v>34</v>
      </c>
      <c r="P372" s="120">
        <v>46181</v>
      </c>
      <c r="Q372" s="173" t="s">
        <v>1566</v>
      </c>
      <c r="R372" s="109"/>
      <c r="S372" s="109"/>
      <c r="T372" s="106"/>
      <c r="U372" s="106"/>
      <c r="V372" s="106"/>
      <c r="W372" s="73" t="s">
        <v>2628</v>
      </c>
      <c r="X372" s="73">
        <v>1</v>
      </c>
      <c r="Y372" s="73">
        <v>1</v>
      </c>
      <c r="Z372" s="73"/>
      <c r="AA372" s="111" t="s">
        <v>429</v>
      </c>
      <c r="AB372" s="118"/>
      <c r="AC372" s="106"/>
      <c r="AD372" s="106"/>
      <c r="AE372" s="2"/>
      <c r="AF372" s="2"/>
    </row>
    <row r="373" spans="1:32" ht="24" outlineLevel="1">
      <c r="A373" s="106">
        <v>372</v>
      </c>
      <c r="B373" s="73" t="s">
        <v>430</v>
      </c>
      <c r="C373" s="73" t="s">
        <v>1897</v>
      </c>
      <c r="D373" s="216"/>
      <c r="E373" s="231" t="s">
        <v>2395</v>
      </c>
      <c r="F373" s="218"/>
      <c r="G373" s="75" t="s">
        <v>2396</v>
      </c>
      <c r="H373" s="75"/>
      <c r="I373" s="75"/>
      <c r="J373" s="92" t="s">
        <v>2276</v>
      </c>
      <c r="K373" s="77" t="s">
        <v>1592</v>
      </c>
      <c r="L373" s="107"/>
      <c r="M373" s="108"/>
      <c r="N373" s="181"/>
      <c r="O373" s="119" t="s">
        <v>34</v>
      </c>
      <c r="P373" s="120">
        <v>46181</v>
      </c>
      <c r="Q373" s="173" t="s">
        <v>1566</v>
      </c>
      <c r="R373" s="109"/>
      <c r="S373" s="109"/>
      <c r="T373" s="106"/>
      <c r="U373" s="106"/>
      <c r="V373" s="106"/>
      <c r="W373" s="73" t="s">
        <v>2633</v>
      </c>
      <c r="X373" s="73">
        <v>1</v>
      </c>
      <c r="Y373" s="73">
        <v>1</v>
      </c>
      <c r="Z373" s="73"/>
      <c r="AA373" s="111" t="s">
        <v>431</v>
      </c>
      <c r="AB373" s="118"/>
      <c r="AC373" s="106"/>
      <c r="AD373" s="106"/>
      <c r="AE373" s="2"/>
      <c r="AF373" s="2"/>
    </row>
    <row r="374" spans="1:32" outlineLevel="1">
      <c r="A374" s="106">
        <v>373</v>
      </c>
      <c r="B374" s="73" t="s">
        <v>1758</v>
      </c>
      <c r="C374" s="73"/>
      <c r="D374" s="216"/>
      <c r="E374" s="235" t="s">
        <v>2397</v>
      </c>
      <c r="F374" s="218"/>
      <c r="G374" s="75"/>
      <c r="H374" s="75" t="s">
        <v>1724</v>
      </c>
      <c r="I374" s="75"/>
      <c r="J374" s="76"/>
      <c r="K374" s="73"/>
      <c r="L374" s="113"/>
      <c r="M374" s="114"/>
      <c r="N374" s="182"/>
      <c r="O374" s="115"/>
      <c r="P374" s="115"/>
      <c r="Q374" s="116"/>
      <c r="R374" s="115"/>
      <c r="S374" s="115"/>
      <c r="T374" s="106"/>
      <c r="U374" s="106"/>
      <c r="V374" s="106"/>
      <c r="W374" s="73"/>
      <c r="X374" s="73"/>
      <c r="Y374" s="73"/>
      <c r="Z374" s="73"/>
      <c r="AA374" s="112"/>
      <c r="AB374" s="118"/>
      <c r="AC374" s="106"/>
      <c r="AD374" s="106"/>
      <c r="AE374" s="2"/>
      <c r="AF374" s="2"/>
    </row>
    <row r="375" spans="1:32" outlineLevel="1">
      <c r="A375" s="106">
        <v>374</v>
      </c>
      <c r="B375" s="73" t="s">
        <v>2398</v>
      </c>
      <c r="C375" s="73" t="s">
        <v>1897</v>
      </c>
      <c r="D375" s="216"/>
      <c r="E375" s="231" t="s">
        <v>2399</v>
      </c>
      <c r="F375" s="218"/>
      <c r="G375" s="75"/>
      <c r="H375" s="75"/>
      <c r="I375" s="75" t="s">
        <v>2400</v>
      </c>
      <c r="J375" s="76"/>
      <c r="K375" s="77" t="s">
        <v>1592</v>
      </c>
      <c r="L375" s="107"/>
      <c r="M375" s="108"/>
      <c r="N375" s="181"/>
      <c r="O375" s="119" t="s">
        <v>34</v>
      </c>
      <c r="P375" s="120">
        <v>46181</v>
      </c>
      <c r="Q375" s="173" t="s">
        <v>1566</v>
      </c>
      <c r="R375" s="109"/>
      <c r="S375" s="109"/>
      <c r="T375" s="106"/>
      <c r="U375" s="106"/>
      <c r="V375" s="106"/>
      <c r="W375" s="73" t="s">
        <v>2626</v>
      </c>
      <c r="X375" s="73"/>
      <c r="Y375" s="73">
        <v>1</v>
      </c>
      <c r="Z375" s="73">
        <v>1</v>
      </c>
      <c r="AA375" s="111" t="s">
        <v>432</v>
      </c>
      <c r="AB375" s="118"/>
      <c r="AC375" s="106"/>
      <c r="AD375" s="106"/>
      <c r="AE375" s="2"/>
      <c r="AF375" s="2"/>
    </row>
    <row r="376" spans="1:32" outlineLevel="1">
      <c r="A376" s="106">
        <v>375</v>
      </c>
      <c r="B376" s="73" t="s">
        <v>2401</v>
      </c>
      <c r="C376" s="73" t="s">
        <v>1897</v>
      </c>
      <c r="D376" s="216"/>
      <c r="E376" s="231" t="s">
        <v>2402</v>
      </c>
      <c r="F376" s="218"/>
      <c r="G376" s="75"/>
      <c r="H376" s="75" t="s">
        <v>2403</v>
      </c>
      <c r="I376" s="75"/>
      <c r="J376" s="76"/>
      <c r="K376" s="77" t="s">
        <v>1592</v>
      </c>
      <c r="L376" s="107"/>
      <c r="M376" s="108"/>
      <c r="N376" s="181"/>
      <c r="O376" s="119" t="s">
        <v>34</v>
      </c>
      <c r="P376" s="120">
        <v>46181</v>
      </c>
      <c r="Q376" s="173" t="s">
        <v>1566</v>
      </c>
      <c r="R376" s="109"/>
      <c r="S376" s="109"/>
      <c r="T376" s="106"/>
      <c r="U376" s="106"/>
      <c r="V376" s="106"/>
      <c r="W376" s="73" t="s">
        <v>2633</v>
      </c>
      <c r="X376" s="73">
        <v>1</v>
      </c>
      <c r="Y376" s="73">
        <v>1</v>
      </c>
      <c r="Z376" s="73"/>
      <c r="AA376" s="111" t="s">
        <v>433</v>
      </c>
      <c r="AB376" s="118"/>
      <c r="AC376" s="106"/>
      <c r="AD376" s="106"/>
      <c r="AE376" s="2"/>
      <c r="AF376" s="2"/>
    </row>
    <row r="377" spans="1:32" outlineLevel="1">
      <c r="A377" s="106">
        <v>376</v>
      </c>
      <c r="B377" s="73" t="s">
        <v>2404</v>
      </c>
      <c r="C377" s="73" t="s">
        <v>1891</v>
      </c>
      <c r="D377" s="216"/>
      <c r="E377" s="231" t="s">
        <v>2405</v>
      </c>
      <c r="F377" s="218" t="s">
        <v>2406</v>
      </c>
      <c r="G377" s="75" t="s">
        <v>2407</v>
      </c>
      <c r="H377" s="75"/>
      <c r="I377" s="75"/>
      <c r="J377" s="76"/>
      <c r="K377" s="77" t="s">
        <v>1592</v>
      </c>
      <c r="L377" s="107"/>
      <c r="M377" s="108"/>
      <c r="N377" s="181"/>
      <c r="O377" s="119" t="s">
        <v>34</v>
      </c>
      <c r="P377" s="120">
        <v>46181</v>
      </c>
      <c r="Q377" s="173" t="s">
        <v>1566</v>
      </c>
      <c r="R377" s="109"/>
      <c r="S377" s="109"/>
      <c r="T377" s="106"/>
      <c r="U377" s="106"/>
      <c r="V377" s="106"/>
      <c r="W377" s="73" t="s">
        <v>2628</v>
      </c>
      <c r="X377" s="73">
        <v>1</v>
      </c>
      <c r="Y377" s="73">
        <v>1</v>
      </c>
      <c r="Z377" s="73"/>
      <c r="AA377" s="111" t="s">
        <v>434</v>
      </c>
      <c r="AB377" s="118"/>
      <c r="AC377" s="106"/>
      <c r="AD377" s="106"/>
      <c r="AE377" s="2"/>
      <c r="AF377" s="2"/>
    </row>
    <row r="378" spans="1:32" outlineLevel="1">
      <c r="A378" s="106">
        <v>377</v>
      </c>
      <c r="B378" s="73" t="s">
        <v>435</v>
      </c>
      <c r="C378" s="73" t="s">
        <v>1891</v>
      </c>
      <c r="D378" s="216"/>
      <c r="E378" s="231" t="s">
        <v>2408</v>
      </c>
      <c r="F378" s="218"/>
      <c r="G378" s="75"/>
      <c r="H378" s="75" t="s">
        <v>2409</v>
      </c>
      <c r="I378" s="75"/>
      <c r="J378" s="76"/>
      <c r="K378" s="77" t="s">
        <v>1592</v>
      </c>
      <c r="L378" s="107"/>
      <c r="M378" s="108"/>
      <c r="N378" s="181"/>
      <c r="O378" s="119" t="s">
        <v>34</v>
      </c>
      <c r="P378" s="120">
        <v>46181</v>
      </c>
      <c r="Q378" s="173" t="s">
        <v>1566</v>
      </c>
      <c r="R378" s="109"/>
      <c r="S378" s="109"/>
      <c r="T378" s="106"/>
      <c r="U378" s="106"/>
      <c r="V378" s="106"/>
      <c r="W378" s="73" t="s">
        <v>2631</v>
      </c>
      <c r="X378" s="73">
        <v>1</v>
      </c>
      <c r="Y378" s="73">
        <v>2</v>
      </c>
      <c r="Z378" s="73"/>
      <c r="AA378" s="111" t="s">
        <v>436</v>
      </c>
      <c r="AB378" s="118"/>
      <c r="AC378" s="106"/>
      <c r="AD378" s="106"/>
      <c r="AE378" s="2"/>
      <c r="AF378" s="2"/>
    </row>
    <row r="379" spans="1:32" outlineLevel="1">
      <c r="A379" s="106">
        <v>378</v>
      </c>
      <c r="B379" s="73" t="s">
        <v>437</v>
      </c>
      <c r="C379" s="73" t="s">
        <v>1891</v>
      </c>
      <c r="D379" s="216"/>
      <c r="E379" s="231" t="s">
        <v>2410</v>
      </c>
      <c r="F379" s="218"/>
      <c r="G379" s="75" t="s">
        <v>2411</v>
      </c>
      <c r="H379" s="75"/>
      <c r="I379" s="75"/>
      <c r="J379" s="76"/>
      <c r="K379" s="77" t="s">
        <v>1592</v>
      </c>
      <c r="L379" s="107"/>
      <c r="M379" s="108"/>
      <c r="N379" s="181"/>
      <c r="O379" s="119" t="s">
        <v>34</v>
      </c>
      <c r="P379" s="120">
        <v>46181</v>
      </c>
      <c r="Q379" s="173" t="s">
        <v>1566</v>
      </c>
      <c r="R379" s="109"/>
      <c r="S379" s="109"/>
      <c r="T379" s="106"/>
      <c r="U379" s="106"/>
      <c r="V379" s="106"/>
      <c r="W379" s="73" t="s">
        <v>2628</v>
      </c>
      <c r="X379" s="73">
        <v>1</v>
      </c>
      <c r="Y379" s="73">
        <v>1</v>
      </c>
      <c r="Z379" s="73"/>
      <c r="AA379" s="111" t="s">
        <v>438</v>
      </c>
      <c r="AB379" s="118"/>
      <c r="AC379" s="106"/>
      <c r="AD379" s="106"/>
      <c r="AE379" s="2"/>
      <c r="AF379" s="2"/>
    </row>
    <row r="380" spans="1:32" outlineLevel="1">
      <c r="A380" s="106">
        <v>379</v>
      </c>
      <c r="B380" s="73" t="s">
        <v>439</v>
      </c>
      <c r="C380" s="73" t="s">
        <v>1891</v>
      </c>
      <c r="D380" s="216"/>
      <c r="E380" s="231" t="s">
        <v>2412</v>
      </c>
      <c r="F380" s="218"/>
      <c r="G380" s="75"/>
      <c r="H380" s="75" t="s">
        <v>2413</v>
      </c>
      <c r="I380" s="75"/>
      <c r="J380" s="76"/>
      <c r="K380" s="77" t="s">
        <v>1592</v>
      </c>
      <c r="L380" s="107"/>
      <c r="M380" s="108"/>
      <c r="N380" s="181"/>
      <c r="O380" s="119" t="s">
        <v>34</v>
      </c>
      <c r="P380" s="120">
        <v>46181</v>
      </c>
      <c r="Q380" s="173" t="s">
        <v>1566</v>
      </c>
      <c r="R380" s="109"/>
      <c r="S380" s="109"/>
      <c r="T380" s="106"/>
      <c r="U380" s="106"/>
      <c r="V380" s="106"/>
      <c r="W380" s="73" t="s">
        <v>2631</v>
      </c>
      <c r="X380" s="73">
        <v>1</v>
      </c>
      <c r="Y380" s="73">
        <v>2</v>
      </c>
      <c r="Z380" s="73"/>
      <c r="AA380" s="111" t="s">
        <v>440</v>
      </c>
      <c r="AB380" s="118"/>
      <c r="AC380" s="106"/>
      <c r="AD380" s="106"/>
      <c r="AE380" s="2"/>
      <c r="AF380" s="2"/>
    </row>
    <row r="381" spans="1:32" outlineLevel="1">
      <c r="A381" s="106">
        <v>380</v>
      </c>
      <c r="B381" s="73" t="s">
        <v>441</v>
      </c>
      <c r="C381" s="73" t="s">
        <v>1891</v>
      </c>
      <c r="D381" s="216"/>
      <c r="E381" s="231" t="s">
        <v>2414</v>
      </c>
      <c r="F381" s="218"/>
      <c r="G381" s="75" t="s">
        <v>2415</v>
      </c>
      <c r="H381" s="75"/>
      <c r="I381" s="75"/>
      <c r="J381" s="76"/>
      <c r="K381" s="77" t="s">
        <v>1592</v>
      </c>
      <c r="L381" s="107"/>
      <c r="M381" s="108"/>
      <c r="N381" s="181"/>
      <c r="O381" s="119" t="s">
        <v>34</v>
      </c>
      <c r="P381" s="120">
        <v>46181</v>
      </c>
      <c r="Q381" s="173" t="s">
        <v>1566</v>
      </c>
      <c r="R381" s="109"/>
      <c r="S381" s="109"/>
      <c r="T381" s="106"/>
      <c r="U381" s="106"/>
      <c r="V381" s="106"/>
      <c r="W381" s="73" t="s">
        <v>2631</v>
      </c>
      <c r="X381" s="73">
        <v>1</v>
      </c>
      <c r="Y381" s="73">
        <v>1</v>
      </c>
      <c r="Z381" s="73"/>
      <c r="AA381" s="111" t="s">
        <v>442</v>
      </c>
      <c r="AB381" s="118"/>
      <c r="AC381" s="106"/>
      <c r="AD381" s="106"/>
      <c r="AE381" s="2"/>
      <c r="AF381" s="2"/>
    </row>
    <row r="382" spans="1:32" outlineLevel="1">
      <c r="A382" s="106">
        <v>381</v>
      </c>
      <c r="B382" s="73" t="s">
        <v>443</v>
      </c>
      <c r="C382" s="73" t="s">
        <v>1891</v>
      </c>
      <c r="D382" s="216"/>
      <c r="E382" s="231" t="s">
        <v>2416</v>
      </c>
      <c r="F382" s="218"/>
      <c r="G382" s="75"/>
      <c r="H382" s="75" t="s">
        <v>2417</v>
      </c>
      <c r="I382" s="75"/>
      <c r="J382" s="76"/>
      <c r="K382" s="77" t="s">
        <v>1592</v>
      </c>
      <c r="L382" s="107"/>
      <c r="M382" s="108"/>
      <c r="N382" s="181"/>
      <c r="O382" s="119" t="s">
        <v>34</v>
      </c>
      <c r="P382" s="120">
        <v>46181</v>
      </c>
      <c r="Q382" s="173" t="s">
        <v>1566</v>
      </c>
      <c r="R382" s="109"/>
      <c r="S382" s="109"/>
      <c r="T382" s="106"/>
      <c r="U382" s="106"/>
      <c r="V382" s="106"/>
      <c r="W382" s="73" t="s">
        <v>2629</v>
      </c>
      <c r="X382" s="73">
        <v>1</v>
      </c>
      <c r="Y382" s="73">
        <v>2</v>
      </c>
      <c r="Z382" s="73"/>
      <c r="AA382" s="111" t="s">
        <v>444</v>
      </c>
      <c r="AB382" s="118"/>
      <c r="AC382" s="106"/>
      <c r="AD382" s="106"/>
      <c r="AE382" s="2"/>
      <c r="AF382" s="2"/>
    </row>
    <row r="383" spans="1:32" outlineLevel="1">
      <c r="A383" s="106">
        <v>382</v>
      </c>
      <c r="B383" s="73" t="s">
        <v>445</v>
      </c>
      <c r="C383" s="73" t="s">
        <v>1891</v>
      </c>
      <c r="D383" s="216"/>
      <c r="E383" s="231" t="s">
        <v>2418</v>
      </c>
      <c r="F383" s="218"/>
      <c r="G383" s="75" t="s">
        <v>2419</v>
      </c>
      <c r="H383" s="75"/>
      <c r="I383" s="75"/>
      <c r="J383" s="76"/>
      <c r="K383" s="77" t="s">
        <v>1592</v>
      </c>
      <c r="L383" s="107"/>
      <c r="M383" s="108"/>
      <c r="N383" s="181"/>
      <c r="O383" s="119" t="s">
        <v>34</v>
      </c>
      <c r="P383" s="120">
        <v>46181</v>
      </c>
      <c r="Q383" s="173" t="s">
        <v>1566</v>
      </c>
      <c r="R383" s="109"/>
      <c r="S383" s="109"/>
      <c r="T383" s="106"/>
      <c r="U383" s="106"/>
      <c r="V383" s="106"/>
      <c r="W383" s="73" t="s">
        <v>2631</v>
      </c>
      <c r="X383" s="73">
        <v>1</v>
      </c>
      <c r="Y383" s="73">
        <v>1</v>
      </c>
      <c r="Z383" s="73"/>
      <c r="AA383" s="111" t="s">
        <v>446</v>
      </c>
      <c r="AB383" s="118"/>
      <c r="AC383" s="106"/>
      <c r="AD383" s="106"/>
      <c r="AE383" s="2"/>
      <c r="AF383" s="2"/>
    </row>
    <row r="384" spans="1:32" outlineLevel="1">
      <c r="A384" s="106">
        <v>383</v>
      </c>
      <c r="B384" s="73" t="s">
        <v>447</v>
      </c>
      <c r="C384" s="73" t="s">
        <v>1891</v>
      </c>
      <c r="D384" s="216"/>
      <c r="E384" s="231" t="s">
        <v>2420</v>
      </c>
      <c r="F384" s="218"/>
      <c r="G384" s="75"/>
      <c r="H384" s="75" t="s">
        <v>2421</v>
      </c>
      <c r="I384" s="75"/>
      <c r="J384" s="76"/>
      <c r="K384" s="77" t="s">
        <v>1592</v>
      </c>
      <c r="L384" s="107"/>
      <c r="M384" s="108"/>
      <c r="N384" s="181"/>
      <c r="O384" s="119" t="s">
        <v>34</v>
      </c>
      <c r="P384" s="120">
        <v>46181</v>
      </c>
      <c r="Q384" s="173" t="s">
        <v>1566</v>
      </c>
      <c r="R384" s="109"/>
      <c r="S384" s="109"/>
      <c r="T384" s="106"/>
      <c r="U384" s="106"/>
      <c r="V384" s="106"/>
      <c r="W384" s="73" t="s">
        <v>2629</v>
      </c>
      <c r="X384" s="73">
        <v>1</v>
      </c>
      <c r="Y384" s="73">
        <v>2</v>
      </c>
      <c r="Z384" s="73"/>
      <c r="AA384" s="111" t="s">
        <v>448</v>
      </c>
      <c r="AB384" s="118"/>
      <c r="AC384" s="106"/>
      <c r="AD384" s="106"/>
      <c r="AE384" s="2"/>
      <c r="AF384" s="2"/>
    </row>
    <row r="385" spans="1:32" outlineLevel="1">
      <c r="A385" s="106">
        <v>384</v>
      </c>
      <c r="B385" s="73" t="s">
        <v>2422</v>
      </c>
      <c r="C385" s="73" t="s">
        <v>1891</v>
      </c>
      <c r="D385" s="216"/>
      <c r="E385" s="231" t="s">
        <v>2423</v>
      </c>
      <c r="F385" s="218"/>
      <c r="G385" s="75"/>
      <c r="H385" s="75" t="s">
        <v>2387</v>
      </c>
      <c r="I385" s="75"/>
      <c r="J385" s="76"/>
      <c r="K385" s="77" t="s">
        <v>1592</v>
      </c>
      <c r="L385" s="107" t="s">
        <v>25</v>
      </c>
      <c r="M385" s="108"/>
      <c r="N385" s="181"/>
      <c r="O385" s="119" t="s">
        <v>34</v>
      </c>
      <c r="P385" s="120">
        <v>46181</v>
      </c>
      <c r="Q385" s="173" t="s">
        <v>1566</v>
      </c>
      <c r="R385" s="109"/>
      <c r="S385" s="109"/>
      <c r="T385" s="106"/>
      <c r="U385" s="106"/>
      <c r="V385" s="106"/>
      <c r="W385" s="73" t="s">
        <v>2630</v>
      </c>
      <c r="X385" s="73"/>
      <c r="Y385" s="73">
        <v>1</v>
      </c>
      <c r="Z385" s="73">
        <v>1</v>
      </c>
      <c r="AA385" s="111" t="s">
        <v>449</v>
      </c>
      <c r="AB385" s="118"/>
      <c r="AC385" s="106"/>
      <c r="AD385" s="106"/>
      <c r="AE385" s="2"/>
      <c r="AF385" s="2"/>
    </row>
    <row r="386" spans="1:32" s="101" customFormat="1">
      <c r="A386" s="106">
        <v>385</v>
      </c>
      <c r="B386" s="83"/>
      <c r="C386" s="83"/>
      <c r="D386" s="220"/>
      <c r="E386" s="84"/>
      <c r="F386" s="221"/>
      <c r="G386" s="84"/>
      <c r="H386" s="84"/>
      <c r="I386" s="84"/>
      <c r="J386" s="84"/>
      <c r="K386" s="83"/>
      <c r="L386" s="121"/>
      <c r="M386" s="122"/>
      <c r="N386" s="183"/>
      <c r="O386" s="123"/>
      <c r="P386" s="123"/>
      <c r="Q386" s="124"/>
      <c r="R386" s="123"/>
      <c r="S386" s="123"/>
      <c r="T386" s="125"/>
      <c r="U386" s="125"/>
      <c r="V386" s="125"/>
      <c r="W386" s="83"/>
      <c r="X386" s="83"/>
      <c r="Y386" s="83"/>
      <c r="Z386" s="83"/>
      <c r="AA386" s="126"/>
      <c r="AB386" s="127"/>
      <c r="AC386" s="125"/>
      <c r="AD386" s="125"/>
      <c r="AE386" s="100"/>
      <c r="AF386" s="100"/>
    </row>
    <row r="387" spans="1:32" outlineLevel="1">
      <c r="A387" s="106">
        <v>386</v>
      </c>
      <c r="B387" s="73" t="s">
        <v>2424</v>
      </c>
      <c r="C387" s="87" t="s">
        <v>1883</v>
      </c>
      <c r="D387" s="216" t="s">
        <v>2425</v>
      </c>
      <c r="E387" s="236" t="s">
        <v>2426</v>
      </c>
      <c r="F387" s="218" t="s">
        <v>2427</v>
      </c>
      <c r="G387" s="75"/>
      <c r="H387" s="75"/>
      <c r="I387" s="75"/>
      <c r="J387" s="76"/>
      <c r="K387" s="77" t="s">
        <v>1592</v>
      </c>
      <c r="L387" s="107"/>
      <c r="M387" s="108"/>
      <c r="N387" s="181"/>
      <c r="O387" s="119" t="s">
        <v>34</v>
      </c>
      <c r="P387" s="120">
        <v>46181</v>
      </c>
      <c r="Q387" s="173" t="s">
        <v>1566</v>
      </c>
      <c r="R387" s="109"/>
      <c r="S387" s="109"/>
      <c r="T387" s="106"/>
      <c r="U387" s="106"/>
      <c r="V387" s="106"/>
      <c r="W387" s="73" t="s">
        <v>2631</v>
      </c>
      <c r="X387" s="73">
        <v>1</v>
      </c>
      <c r="Y387" s="73">
        <v>1</v>
      </c>
      <c r="Z387" s="73"/>
      <c r="AA387" s="111" t="s">
        <v>450</v>
      </c>
      <c r="AB387" s="118"/>
      <c r="AC387" s="106"/>
      <c r="AD387" s="106"/>
      <c r="AE387" s="2"/>
      <c r="AF387" s="2"/>
    </row>
    <row r="388" spans="1:32" outlineLevel="1">
      <c r="A388" s="106">
        <v>387</v>
      </c>
      <c r="B388" s="73" t="s">
        <v>1758</v>
      </c>
      <c r="C388" s="73"/>
      <c r="D388" s="216"/>
      <c r="E388" s="235" t="s">
        <v>2428</v>
      </c>
      <c r="F388" s="218"/>
      <c r="G388" s="75" t="s">
        <v>1724</v>
      </c>
      <c r="H388" s="75"/>
      <c r="I388" s="75"/>
      <c r="J388" s="76"/>
      <c r="K388" s="73"/>
      <c r="L388" s="113"/>
      <c r="M388" s="114"/>
      <c r="N388" s="182"/>
      <c r="O388" s="115"/>
      <c r="P388" s="115"/>
      <c r="Q388" s="116"/>
      <c r="R388" s="115"/>
      <c r="S388" s="115"/>
      <c r="T388" s="106"/>
      <c r="U388" s="106"/>
      <c r="V388" s="106"/>
      <c r="W388" s="73"/>
      <c r="X388" s="73"/>
      <c r="Y388" s="73"/>
      <c r="Z388" s="73"/>
      <c r="AA388" s="112"/>
      <c r="AB388" s="118"/>
      <c r="AC388" s="106"/>
      <c r="AD388" s="106"/>
      <c r="AE388" s="2"/>
      <c r="AF388" s="2"/>
    </row>
    <row r="389" spans="1:32" outlineLevel="1">
      <c r="A389" s="106">
        <v>388</v>
      </c>
      <c r="B389" s="73" t="s">
        <v>2429</v>
      </c>
      <c r="C389" s="73" t="s">
        <v>1897</v>
      </c>
      <c r="D389" s="216"/>
      <c r="E389" s="231" t="s">
        <v>2430</v>
      </c>
      <c r="F389" s="218"/>
      <c r="G389" s="75" t="s">
        <v>2431</v>
      </c>
      <c r="H389" s="75"/>
      <c r="I389" s="75"/>
      <c r="J389" s="76"/>
      <c r="K389" s="77" t="s">
        <v>1592</v>
      </c>
      <c r="L389" s="107"/>
      <c r="M389" s="108"/>
      <c r="N389" s="181"/>
      <c r="O389" s="119" t="s">
        <v>34</v>
      </c>
      <c r="P389" s="120">
        <v>46181</v>
      </c>
      <c r="Q389" s="173" t="s">
        <v>1566</v>
      </c>
      <c r="R389" s="109"/>
      <c r="S389" s="109"/>
      <c r="T389" s="106"/>
      <c r="U389" s="106"/>
      <c r="V389" s="106"/>
      <c r="W389" s="73" t="s">
        <v>2634</v>
      </c>
      <c r="X389" s="73">
        <v>1</v>
      </c>
      <c r="Y389" s="73">
        <v>2</v>
      </c>
      <c r="Z389" s="73"/>
      <c r="AA389" s="111" t="s">
        <v>451</v>
      </c>
      <c r="AB389" s="118"/>
      <c r="AC389" s="106" t="s">
        <v>177</v>
      </c>
      <c r="AD389" s="106" t="s">
        <v>452</v>
      </c>
      <c r="AE389" s="2"/>
      <c r="AF389" s="2"/>
    </row>
    <row r="390" spans="1:32" outlineLevel="1">
      <c r="A390" s="106">
        <v>389</v>
      </c>
      <c r="B390" s="73" t="s">
        <v>2432</v>
      </c>
      <c r="C390" s="73" t="s">
        <v>1897</v>
      </c>
      <c r="D390" s="216"/>
      <c r="E390" s="231" t="s">
        <v>2433</v>
      </c>
      <c r="F390" s="218"/>
      <c r="G390" s="75" t="s">
        <v>2434</v>
      </c>
      <c r="H390" s="75"/>
      <c r="I390" s="75"/>
      <c r="J390" s="76"/>
      <c r="K390" s="77" t="s">
        <v>1592</v>
      </c>
      <c r="L390" s="107"/>
      <c r="M390" s="108"/>
      <c r="N390" s="181"/>
      <c r="O390" s="119" t="s">
        <v>34</v>
      </c>
      <c r="P390" s="120">
        <v>46181</v>
      </c>
      <c r="Q390" s="173" t="s">
        <v>1566</v>
      </c>
      <c r="R390" s="109"/>
      <c r="S390" s="109"/>
      <c r="T390" s="106"/>
      <c r="U390" s="106"/>
      <c r="V390" s="106"/>
      <c r="W390" s="73" t="s">
        <v>2628</v>
      </c>
      <c r="X390" s="73">
        <v>1</v>
      </c>
      <c r="Y390" s="73">
        <v>1</v>
      </c>
      <c r="Z390" s="73"/>
      <c r="AA390" s="111" t="s">
        <v>451</v>
      </c>
      <c r="AB390" s="118"/>
      <c r="AC390" s="106"/>
      <c r="AD390" s="106"/>
      <c r="AE390" s="2"/>
      <c r="AF390" s="2"/>
    </row>
    <row r="391" spans="1:32" ht="22.5" outlineLevel="1">
      <c r="A391" s="106">
        <v>390</v>
      </c>
      <c r="B391" s="73" t="s">
        <v>2435</v>
      </c>
      <c r="C391" s="73" t="s">
        <v>1897</v>
      </c>
      <c r="D391" s="216"/>
      <c r="E391" s="226" t="s">
        <v>2436</v>
      </c>
      <c r="F391" s="218"/>
      <c r="G391" s="75"/>
      <c r="H391" s="75" t="s">
        <v>2437</v>
      </c>
      <c r="I391" s="75"/>
      <c r="J391" s="76"/>
      <c r="K391" s="77" t="s">
        <v>1592</v>
      </c>
      <c r="L391" s="107"/>
      <c r="M391" s="108"/>
      <c r="N391" s="181"/>
      <c r="O391" s="119" t="s">
        <v>34</v>
      </c>
      <c r="P391" s="120">
        <v>46181</v>
      </c>
      <c r="Q391" s="173" t="s">
        <v>1566</v>
      </c>
      <c r="R391" s="109"/>
      <c r="S391" s="109"/>
      <c r="T391" s="106"/>
      <c r="U391" s="106"/>
      <c r="V391" s="106"/>
      <c r="W391" s="73" t="s">
        <v>2632</v>
      </c>
      <c r="X391" s="73"/>
      <c r="Y391" s="73">
        <v>1</v>
      </c>
      <c r="Z391" s="73">
        <v>1</v>
      </c>
      <c r="AA391" s="111" t="s">
        <v>453</v>
      </c>
      <c r="AB391" s="129"/>
      <c r="AC391" s="106"/>
      <c r="AD391" s="106"/>
      <c r="AE391" s="2"/>
      <c r="AF391" s="2"/>
    </row>
    <row r="392" spans="1:32" outlineLevel="1">
      <c r="A392" s="106">
        <v>391</v>
      </c>
      <c r="B392" s="73" t="s">
        <v>2438</v>
      </c>
      <c r="C392" s="73" t="s">
        <v>1897</v>
      </c>
      <c r="D392" s="216"/>
      <c r="E392" s="226" t="s">
        <v>2439</v>
      </c>
      <c r="F392" s="218"/>
      <c r="G392" s="75" t="s">
        <v>2440</v>
      </c>
      <c r="H392" s="75"/>
      <c r="I392" s="75"/>
      <c r="J392" s="76"/>
      <c r="K392" s="77" t="s">
        <v>1592</v>
      </c>
      <c r="L392" s="107"/>
      <c r="M392" s="108"/>
      <c r="N392" s="181"/>
      <c r="O392" s="119" t="s">
        <v>34</v>
      </c>
      <c r="P392" s="120">
        <v>46181</v>
      </c>
      <c r="Q392" s="173" t="s">
        <v>1566</v>
      </c>
      <c r="R392" s="109"/>
      <c r="S392" s="109"/>
      <c r="T392" s="106"/>
      <c r="U392" s="106"/>
      <c r="V392" s="106"/>
      <c r="W392" s="73" t="s">
        <v>2629</v>
      </c>
      <c r="X392" s="73">
        <v>1</v>
      </c>
      <c r="Y392" s="73">
        <v>4</v>
      </c>
      <c r="Z392" s="73"/>
      <c r="AA392" s="111" t="s">
        <v>451</v>
      </c>
      <c r="AB392" s="118"/>
      <c r="AC392" s="106" t="s">
        <v>177</v>
      </c>
      <c r="AD392" s="106" t="s">
        <v>452</v>
      </c>
      <c r="AE392" s="2"/>
      <c r="AF392" s="2"/>
    </row>
    <row r="393" spans="1:32" outlineLevel="1">
      <c r="A393" s="106">
        <v>392</v>
      </c>
      <c r="B393" s="73" t="s">
        <v>2441</v>
      </c>
      <c r="C393" s="73" t="s">
        <v>1897</v>
      </c>
      <c r="D393" s="216"/>
      <c r="E393" s="231" t="s">
        <v>2442</v>
      </c>
      <c r="F393" s="218"/>
      <c r="G393" s="75" t="s">
        <v>2443</v>
      </c>
      <c r="H393" s="75"/>
      <c r="I393" s="75"/>
      <c r="J393" s="76"/>
      <c r="K393" s="77" t="s">
        <v>1592</v>
      </c>
      <c r="L393" s="107"/>
      <c r="M393" s="108"/>
      <c r="N393" s="181"/>
      <c r="O393" s="119" t="s">
        <v>34</v>
      </c>
      <c r="P393" s="120">
        <v>46181</v>
      </c>
      <c r="Q393" s="173" t="s">
        <v>1566</v>
      </c>
      <c r="R393" s="109"/>
      <c r="S393" s="109"/>
      <c r="T393" s="106"/>
      <c r="U393" s="106"/>
      <c r="V393" s="106"/>
      <c r="W393" s="73" t="s">
        <v>2628</v>
      </c>
      <c r="X393" s="73">
        <v>1</v>
      </c>
      <c r="Y393" s="73">
        <v>4</v>
      </c>
      <c r="Z393" s="73"/>
      <c r="AA393" s="111" t="s">
        <v>451</v>
      </c>
      <c r="AB393" s="118"/>
      <c r="AC393" s="106" t="s">
        <v>177</v>
      </c>
      <c r="AD393" s="106" t="s">
        <v>452</v>
      </c>
      <c r="AE393" s="2"/>
      <c r="AF393" s="2"/>
    </row>
    <row r="394" spans="1:32" outlineLevel="1">
      <c r="A394" s="106">
        <v>393</v>
      </c>
      <c r="B394" s="73" t="s">
        <v>2444</v>
      </c>
      <c r="C394" s="73" t="s">
        <v>1897</v>
      </c>
      <c r="D394" s="216"/>
      <c r="E394" s="231" t="s">
        <v>2445</v>
      </c>
      <c r="F394" s="218"/>
      <c r="G394" s="75" t="s">
        <v>2446</v>
      </c>
      <c r="H394" s="75"/>
      <c r="I394" s="75"/>
      <c r="J394" s="76"/>
      <c r="K394" s="77" t="s">
        <v>1592</v>
      </c>
      <c r="L394" s="107"/>
      <c r="M394" s="108"/>
      <c r="N394" s="181"/>
      <c r="O394" s="119" t="s">
        <v>34</v>
      </c>
      <c r="P394" s="120">
        <v>46181</v>
      </c>
      <c r="Q394" s="173" t="s">
        <v>1566</v>
      </c>
      <c r="R394" s="109"/>
      <c r="S394" s="109"/>
      <c r="T394" s="106"/>
      <c r="U394" s="106"/>
      <c r="V394" s="106"/>
      <c r="W394" s="73" t="s">
        <v>2634</v>
      </c>
      <c r="X394" s="73">
        <v>1</v>
      </c>
      <c r="Y394" s="73">
        <v>3</v>
      </c>
      <c r="Z394" s="73"/>
      <c r="AA394" s="111" t="s">
        <v>451</v>
      </c>
      <c r="AB394" s="118"/>
      <c r="AC394" s="106" t="s">
        <v>177</v>
      </c>
      <c r="AD394" s="106" t="s">
        <v>452</v>
      </c>
      <c r="AE394" s="2"/>
      <c r="AF394" s="2"/>
    </row>
    <row r="395" spans="1:32" outlineLevel="1">
      <c r="A395" s="106">
        <v>394</v>
      </c>
      <c r="B395" s="73" t="s">
        <v>2447</v>
      </c>
      <c r="C395" s="73" t="s">
        <v>1897</v>
      </c>
      <c r="D395" s="216"/>
      <c r="E395" s="231" t="s">
        <v>2448</v>
      </c>
      <c r="F395" s="218"/>
      <c r="G395" s="75" t="s">
        <v>2449</v>
      </c>
      <c r="H395" s="75"/>
      <c r="I395" s="75"/>
      <c r="J395" s="76"/>
      <c r="K395" s="77" t="s">
        <v>1592</v>
      </c>
      <c r="L395" s="107"/>
      <c r="M395" s="108"/>
      <c r="N395" s="181"/>
      <c r="O395" s="119" t="s">
        <v>34</v>
      </c>
      <c r="P395" s="120">
        <v>46181</v>
      </c>
      <c r="Q395" s="173" t="s">
        <v>1566</v>
      </c>
      <c r="R395" s="109"/>
      <c r="S395" s="109"/>
      <c r="T395" s="106"/>
      <c r="U395" s="106"/>
      <c r="V395" s="106"/>
      <c r="W395" s="73" t="s">
        <v>2631</v>
      </c>
      <c r="X395" s="73">
        <v>1</v>
      </c>
      <c r="Y395" s="73">
        <v>4</v>
      </c>
      <c r="Z395" s="73"/>
      <c r="AA395" s="111" t="s">
        <v>451</v>
      </c>
      <c r="AB395" s="118"/>
      <c r="AC395" s="106" t="s">
        <v>177</v>
      </c>
      <c r="AD395" s="106" t="s">
        <v>452</v>
      </c>
      <c r="AE395" s="2"/>
      <c r="AF395" s="2"/>
    </row>
    <row r="396" spans="1:32" outlineLevel="1">
      <c r="A396" s="106">
        <v>395</v>
      </c>
      <c r="B396" s="73" t="s">
        <v>2450</v>
      </c>
      <c r="C396" s="73" t="s">
        <v>1897</v>
      </c>
      <c r="D396" s="216"/>
      <c r="E396" s="231" t="s">
        <v>2451</v>
      </c>
      <c r="F396" s="218"/>
      <c r="G396" s="75" t="s">
        <v>2452</v>
      </c>
      <c r="H396" s="75"/>
      <c r="I396" s="75"/>
      <c r="J396" s="76"/>
      <c r="K396" s="77" t="s">
        <v>1592</v>
      </c>
      <c r="L396" s="107"/>
      <c r="M396" s="108"/>
      <c r="N396" s="181"/>
      <c r="O396" s="119" t="s">
        <v>34</v>
      </c>
      <c r="P396" s="120">
        <v>46181</v>
      </c>
      <c r="Q396" s="173" t="s">
        <v>1566</v>
      </c>
      <c r="R396" s="109"/>
      <c r="S396" s="109"/>
      <c r="T396" s="106"/>
      <c r="U396" s="106"/>
      <c r="V396" s="106"/>
      <c r="W396" s="73" t="s">
        <v>2630</v>
      </c>
      <c r="X396" s="73"/>
      <c r="Y396" s="73">
        <v>1</v>
      </c>
      <c r="Z396" s="73">
        <v>1</v>
      </c>
      <c r="AA396" s="112"/>
      <c r="AB396" s="118"/>
      <c r="AC396" s="106"/>
      <c r="AD396" s="106"/>
      <c r="AE396" s="2"/>
      <c r="AF396" s="2"/>
    </row>
    <row r="397" spans="1:32" outlineLevel="1">
      <c r="A397" s="106">
        <v>396</v>
      </c>
      <c r="B397" s="73" t="s">
        <v>2453</v>
      </c>
      <c r="C397" s="73" t="s">
        <v>1897</v>
      </c>
      <c r="D397" s="216"/>
      <c r="E397" s="227" t="s">
        <v>2454</v>
      </c>
      <c r="F397" s="218" t="s">
        <v>2455</v>
      </c>
      <c r="G397" s="153"/>
      <c r="H397" s="75"/>
      <c r="I397" s="75"/>
      <c r="J397" s="86"/>
      <c r="K397" s="77" t="s">
        <v>1592</v>
      </c>
      <c r="L397" s="107"/>
      <c r="M397" s="108"/>
      <c r="N397" s="181"/>
      <c r="O397" s="119" t="s">
        <v>34</v>
      </c>
      <c r="P397" s="120">
        <v>46181</v>
      </c>
      <c r="Q397" s="173" t="s">
        <v>1566</v>
      </c>
      <c r="R397" s="109"/>
      <c r="S397" s="109"/>
      <c r="T397" s="106"/>
      <c r="U397" s="106"/>
      <c r="V397" s="106"/>
      <c r="W397" s="73" t="s">
        <v>2633</v>
      </c>
      <c r="X397" s="73">
        <v>1</v>
      </c>
      <c r="Y397" s="73">
        <v>1</v>
      </c>
      <c r="Z397" s="73"/>
      <c r="AA397" s="111" t="s">
        <v>454</v>
      </c>
      <c r="AB397" s="118"/>
      <c r="AC397" s="106" t="s">
        <v>177</v>
      </c>
      <c r="AD397" s="106" t="s">
        <v>452</v>
      </c>
      <c r="AE397" s="2"/>
      <c r="AF397" s="2"/>
    </row>
    <row r="398" spans="1:32" outlineLevel="1">
      <c r="A398" s="106">
        <v>397</v>
      </c>
      <c r="B398" s="73" t="s">
        <v>1758</v>
      </c>
      <c r="C398" s="73"/>
      <c r="D398" s="216"/>
      <c r="E398" s="226" t="s">
        <v>2456</v>
      </c>
      <c r="F398" s="218"/>
      <c r="G398" s="75" t="s">
        <v>2457</v>
      </c>
      <c r="H398" s="75"/>
      <c r="I398" s="75"/>
      <c r="J398" s="76"/>
      <c r="K398" s="73"/>
      <c r="L398" s="113"/>
      <c r="M398" s="114"/>
      <c r="N398" s="182"/>
      <c r="O398" s="115"/>
      <c r="P398" s="115"/>
      <c r="Q398" s="116"/>
      <c r="R398" s="115"/>
      <c r="S398" s="115"/>
      <c r="T398" s="106"/>
      <c r="U398" s="106"/>
      <c r="V398" s="106"/>
      <c r="W398" s="73"/>
      <c r="X398" s="73"/>
      <c r="Y398" s="73"/>
      <c r="Z398" s="73"/>
      <c r="AA398" s="112"/>
      <c r="AB398" s="118"/>
      <c r="AC398" s="106"/>
      <c r="AD398" s="106"/>
      <c r="AE398" s="2"/>
      <c r="AF398" s="2"/>
    </row>
    <row r="399" spans="1:32" outlineLevel="1">
      <c r="A399" s="106">
        <v>398</v>
      </c>
      <c r="B399" s="73"/>
      <c r="C399" s="73"/>
      <c r="D399" s="216"/>
      <c r="E399" s="75"/>
      <c r="F399" s="218"/>
      <c r="G399" s="75" t="s">
        <v>2431</v>
      </c>
      <c r="H399" s="75"/>
      <c r="I399" s="75"/>
      <c r="J399" s="76"/>
      <c r="K399" s="73"/>
      <c r="L399" s="113"/>
      <c r="M399" s="114"/>
      <c r="N399" s="182"/>
      <c r="O399" s="115"/>
      <c r="P399" s="115"/>
      <c r="Q399" s="116"/>
      <c r="R399" s="115"/>
      <c r="S399" s="115"/>
      <c r="T399" s="106"/>
      <c r="U399" s="106"/>
      <c r="V399" s="106"/>
      <c r="W399" s="73"/>
      <c r="X399" s="73"/>
      <c r="Y399" s="73"/>
      <c r="Z399" s="73"/>
      <c r="AA399" s="111" t="s">
        <v>455</v>
      </c>
      <c r="AB399" s="118"/>
      <c r="AC399" s="106"/>
      <c r="AD399" s="106"/>
      <c r="AE399" s="2"/>
      <c r="AF399" s="2"/>
    </row>
    <row r="400" spans="1:32" outlineLevel="1">
      <c r="A400" s="106">
        <v>399</v>
      </c>
      <c r="B400" s="73"/>
      <c r="C400" s="73"/>
      <c r="D400" s="216"/>
      <c r="E400" s="75"/>
      <c r="F400" s="218"/>
      <c r="G400" s="75" t="s">
        <v>2434</v>
      </c>
      <c r="H400" s="75"/>
      <c r="I400" s="75"/>
      <c r="J400" s="76"/>
      <c r="K400" s="73"/>
      <c r="L400" s="113"/>
      <c r="M400" s="114"/>
      <c r="N400" s="182"/>
      <c r="O400" s="115"/>
      <c r="P400" s="115"/>
      <c r="Q400" s="116"/>
      <c r="R400" s="115"/>
      <c r="S400" s="115"/>
      <c r="T400" s="106"/>
      <c r="U400" s="106"/>
      <c r="V400" s="106"/>
      <c r="W400" s="73"/>
      <c r="X400" s="73"/>
      <c r="Y400" s="73"/>
      <c r="Z400" s="73"/>
      <c r="AA400" s="111" t="s">
        <v>455</v>
      </c>
      <c r="AB400" s="118"/>
      <c r="AC400" s="106"/>
      <c r="AD400" s="106"/>
      <c r="AE400" s="2"/>
      <c r="AF400" s="2"/>
    </row>
    <row r="401" spans="1:32" outlineLevel="1">
      <c r="A401" s="106">
        <v>400</v>
      </c>
      <c r="B401" s="73"/>
      <c r="C401" s="73"/>
      <c r="D401" s="216"/>
      <c r="E401" s="75"/>
      <c r="F401" s="218"/>
      <c r="G401" s="75" t="s">
        <v>2440</v>
      </c>
      <c r="H401" s="75"/>
      <c r="I401" s="75"/>
      <c r="J401" s="76"/>
      <c r="K401" s="73"/>
      <c r="L401" s="113"/>
      <c r="M401" s="114"/>
      <c r="N401" s="182"/>
      <c r="O401" s="115"/>
      <c r="P401" s="115"/>
      <c r="Q401" s="116"/>
      <c r="R401" s="115"/>
      <c r="S401" s="115"/>
      <c r="T401" s="106"/>
      <c r="U401" s="106"/>
      <c r="V401" s="106"/>
      <c r="W401" s="73"/>
      <c r="X401" s="73"/>
      <c r="Y401" s="73"/>
      <c r="Z401" s="73"/>
      <c r="AA401" s="111" t="s">
        <v>455</v>
      </c>
      <c r="AB401" s="118"/>
      <c r="AC401" s="106"/>
      <c r="AD401" s="106"/>
      <c r="AE401" s="2"/>
      <c r="AF401" s="2"/>
    </row>
    <row r="402" spans="1:32" outlineLevel="1">
      <c r="A402" s="106">
        <v>401</v>
      </c>
      <c r="B402" s="73"/>
      <c r="C402" s="73"/>
      <c r="D402" s="216"/>
      <c r="E402" s="75"/>
      <c r="F402" s="218"/>
      <c r="G402" s="75" t="s">
        <v>2443</v>
      </c>
      <c r="H402" s="75"/>
      <c r="I402" s="75"/>
      <c r="J402" s="76"/>
      <c r="K402" s="73"/>
      <c r="L402" s="113"/>
      <c r="M402" s="114"/>
      <c r="N402" s="182"/>
      <c r="O402" s="115"/>
      <c r="P402" s="115"/>
      <c r="Q402" s="116"/>
      <c r="R402" s="115"/>
      <c r="S402" s="115"/>
      <c r="T402" s="106"/>
      <c r="U402" s="106"/>
      <c r="V402" s="106"/>
      <c r="W402" s="73"/>
      <c r="X402" s="73"/>
      <c r="Y402" s="73"/>
      <c r="Z402" s="73"/>
      <c r="AA402" s="111" t="s">
        <v>455</v>
      </c>
      <c r="AB402" s="118"/>
      <c r="AC402" s="106"/>
      <c r="AD402" s="106"/>
      <c r="AE402" s="2"/>
      <c r="AF402" s="2"/>
    </row>
    <row r="403" spans="1:32" outlineLevel="1">
      <c r="A403" s="106">
        <v>402</v>
      </c>
      <c r="B403" s="73"/>
      <c r="C403" s="73"/>
      <c r="D403" s="216"/>
      <c r="E403" s="75"/>
      <c r="F403" s="218"/>
      <c r="G403" s="75" t="s">
        <v>2446</v>
      </c>
      <c r="H403" s="75"/>
      <c r="I403" s="75"/>
      <c r="J403" s="76"/>
      <c r="K403" s="73"/>
      <c r="L403" s="113"/>
      <c r="M403" s="114"/>
      <c r="N403" s="182"/>
      <c r="O403" s="115"/>
      <c r="P403" s="115"/>
      <c r="Q403" s="116"/>
      <c r="R403" s="115"/>
      <c r="S403" s="115"/>
      <c r="T403" s="106"/>
      <c r="U403" s="106"/>
      <c r="V403" s="106"/>
      <c r="W403" s="73"/>
      <c r="X403" s="73"/>
      <c r="Y403" s="73"/>
      <c r="Z403" s="73"/>
      <c r="AA403" s="111" t="s">
        <v>455</v>
      </c>
      <c r="AB403" s="118"/>
      <c r="AC403" s="106"/>
      <c r="AD403" s="106"/>
      <c r="AE403" s="2"/>
      <c r="AF403" s="2"/>
    </row>
    <row r="404" spans="1:32" outlineLevel="1">
      <c r="A404" s="106">
        <v>403</v>
      </c>
      <c r="B404" s="73"/>
      <c r="C404" s="73"/>
      <c r="D404" s="216"/>
      <c r="E404" s="75"/>
      <c r="F404" s="218"/>
      <c r="G404" s="75" t="s">
        <v>2449</v>
      </c>
      <c r="H404" s="75"/>
      <c r="I404" s="75"/>
      <c r="J404" s="76"/>
      <c r="K404" s="73"/>
      <c r="L404" s="113"/>
      <c r="M404" s="114"/>
      <c r="N404" s="182"/>
      <c r="O404" s="115"/>
      <c r="P404" s="115"/>
      <c r="Q404" s="116"/>
      <c r="R404" s="115"/>
      <c r="S404" s="115"/>
      <c r="T404" s="106"/>
      <c r="U404" s="106"/>
      <c r="V404" s="106"/>
      <c r="W404" s="73"/>
      <c r="X404" s="73"/>
      <c r="Y404" s="73"/>
      <c r="Z404" s="73"/>
      <c r="AA404" s="111" t="s">
        <v>455</v>
      </c>
      <c r="AB404" s="118"/>
      <c r="AC404" s="106"/>
      <c r="AD404" s="106"/>
      <c r="AE404" s="2"/>
      <c r="AF404" s="2"/>
    </row>
    <row r="405" spans="1:32" outlineLevel="1">
      <c r="A405" s="106">
        <v>404</v>
      </c>
      <c r="B405" s="73" t="s">
        <v>2458</v>
      </c>
      <c r="C405" s="87" t="s">
        <v>1883</v>
      </c>
      <c r="D405" s="216"/>
      <c r="E405" s="227" t="s">
        <v>2456</v>
      </c>
      <c r="F405" s="218" t="s">
        <v>2459</v>
      </c>
      <c r="G405" s="75"/>
      <c r="H405" s="75"/>
      <c r="I405" s="75"/>
      <c r="J405" s="76"/>
      <c r="K405" s="77" t="s">
        <v>1592</v>
      </c>
      <c r="L405" s="107"/>
      <c r="M405" s="108"/>
      <c r="N405" s="181"/>
      <c r="O405" s="119" t="s">
        <v>34</v>
      </c>
      <c r="P405" s="120">
        <v>46181</v>
      </c>
      <c r="Q405" s="173" t="s">
        <v>1566</v>
      </c>
      <c r="R405" s="109"/>
      <c r="S405" s="109"/>
      <c r="T405" s="106"/>
      <c r="U405" s="106"/>
      <c r="V405" s="106"/>
      <c r="W405" s="73" t="s">
        <v>2633</v>
      </c>
      <c r="X405" s="73">
        <v>1</v>
      </c>
      <c r="Y405" s="73">
        <v>1</v>
      </c>
      <c r="Z405" s="73"/>
      <c r="AA405" s="111" t="s">
        <v>456</v>
      </c>
      <c r="AB405" s="118"/>
      <c r="AC405" s="106" t="s">
        <v>177</v>
      </c>
      <c r="AD405" s="106" t="s">
        <v>452</v>
      </c>
      <c r="AE405" s="2"/>
      <c r="AF405" s="2"/>
    </row>
    <row r="406" spans="1:32" outlineLevel="1">
      <c r="A406" s="106">
        <v>405</v>
      </c>
      <c r="B406" s="73" t="s">
        <v>1758</v>
      </c>
      <c r="C406" s="73"/>
      <c r="D406" s="216"/>
      <c r="E406" s="75" t="s">
        <v>2460</v>
      </c>
      <c r="F406" s="218"/>
      <c r="G406" s="75" t="s">
        <v>2457</v>
      </c>
      <c r="H406" s="75"/>
      <c r="I406" s="75"/>
      <c r="J406" s="76"/>
      <c r="K406" s="73"/>
      <c r="L406" s="113"/>
      <c r="M406" s="114"/>
      <c r="N406" s="182"/>
      <c r="O406" s="115"/>
      <c r="P406" s="115"/>
      <c r="Q406" s="116"/>
      <c r="R406" s="115"/>
      <c r="S406" s="115"/>
      <c r="T406" s="106"/>
      <c r="U406" s="106"/>
      <c r="V406" s="106"/>
      <c r="W406" s="73"/>
      <c r="X406" s="73"/>
      <c r="Y406" s="73"/>
      <c r="Z406" s="73"/>
      <c r="AA406" s="112"/>
      <c r="AB406" s="118"/>
      <c r="AC406" s="106"/>
      <c r="AD406" s="106"/>
      <c r="AE406" s="2"/>
      <c r="AF406" s="2"/>
    </row>
    <row r="407" spans="1:32" outlineLevel="1">
      <c r="A407" s="106">
        <v>406</v>
      </c>
      <c r="B407" s="73"/>
      <c r="C407" s="73"/>
      <c r="D407" s="216"/>
      <c r="E407" s="75"/>
      <c r="F407" s="218"/>
      <c r="G407" s="75" t="s">
        <v>2431</v>
      </c>
      <c r="H407" s="75"/>
      <c r="I407" s="75"/>
      <c r="J407" s="76"/>
      <c r="K407" s="73"/>
      <c r="L407" s="113"/>
      <c r="M407" s="114"/>
      <c r="N407" s="182"/>
      <c r="O407" s="115"/>
      <c r="P407" s="115"/>
      <c r="Q407" s="116"/>
      <c r="R407" s="115"/>
      <c r="S407" s="115"/>
      <c r="T407" s="106"/>
      <c r="U407" s="106"/>
      <c r="V407" s="106"/>
      <c r="W407" s="73"/>
      <c r="X407" s="73"/>
      <c r="Y407" s="73"/>
      <c r="Z407" s="73"/>
      <c r="AA407" s="111" t="s">
        <v>455</v>
      </c>
      <c r="AB407" s="118"/>
      <c r="AC407" s="106"/>
      <c r="AD407" s="106"/>
      <c r="AE407" s="2"/>
      <c r="AF407" s="2"/>
    </row>
    <row r="408" spans="1:32" outlineLevel="1">
      <c r="A408" s="106">
        <v>407</v>
      </c>
      <c r="B408" s="73"/>
      <c r="C408" s="73"/>
      <c r="D408" s="216"/>
      <c r="E408" s="75"/>
      <c r="F408" s="218"/>
      <c r="G408" s="75" t="s">
        <v>2434</v>
      </c>
      <c r="H408" s="75"/>
      <c r="I408" s="75"/>
      <c r="J408" s="76"/>
      <c r="K408" s="73"/>
      <c r="L408" s="113"/>
      <c r="M408" s="114"/>
      <c r="N408" s="182"/>
      <c r="O408" s="115"/>
      <c r="P408" s="115"/>
      <c r="Q408" s="116"/>
      <c r="R408" s="115"/>
      <c r="S408" s="115"/>
      <c r="T408" s="106"/>
      <c r="U408" s="106"/>
      <c r="V408" s="106"/>
      <c r="W408" s="73"/>
      <c r="X408" s="73"/>
      <c r="Y408" s="73"/>
      <c r="Z408" s="73"/>
      <c r="AA408" s="111" t="s">
        <v>455</v>
      </c>
      <c r="AB408" s="118"/>
      <c r="AC408" s="106"/>
      <c r="AD408" s="106"/>
      <c r="AE408" s="2"/>
      <c r="AF408" s="2"/>
    </row>
    <row r="409" spans="1:32" outlineLevel="1">
      <c r="A409" s="106">
        <v>408</v>
      </c>
      <c r="B409" s="73"/>
      <c r="C409" s="73"/>
      <c r="D409" s="216"/>
      <c r="E409" s="75"/>
      <c r="F409" s="218"/>
      <c r="G409" s="75" t="s">
        <v>2440</v>
      </c>
      <c r="H409" s="75"/>
      <c r="I409" s="75"/>
      <c r="J409" s="76"/>
      <c r="K409" s="73"/>
      <c r="L409" s="113"/>
      <c r="M409" s="114"/>
      <c r="N409" s="182"/>
      <c r="O409" s="115"/>
      <c r="P409" s="115"/>
      <c r="Q409" s="116"/>
      <c r="R409" s="115"/>
      <c r="S409" s="115"/>
      <c r="T409" s="106"/>
      <c r="U409" s="106"/>
      <c r="V409" s="106"/>
      <c r="W409" s="73"/>
      <c r="X409" s="73"/>
      <c r="Y409" s="73"/>
      <c r="Z409" s="73"/>
      <c r="AA409" s="111" t="s">
        <v>455</v>
      </c>
      <c r="AB409" s="118"/>
      <c r="AC409" s="106"/>
      <c r="AD409" s="106"/>
      <c r="AE409" s="2"/>
      <c r="AF409" s="2"/>
    </row>
    <row r="410" spans="1:32" outlineLevel="1">
      <c r="A410" s="106">
        <v>409</v>
      </c>
      <c r="B410" s="73"/>
      <c r="C410" s="73"/>
      <c r="D410" s="216"/>
      <c r="E410" s="75"/>
      <c r="F410" s="218"/>
      <c r="G410" s="75" t="s">
        <v>2443</v>
      </c>
      <c r="H410" s="75"/>
      <c r="I410" s="75"/>
      <c r="J410" s="76"/>
      <c r="K410" s="73"/>
      <c r="L410" s="113"/>
      <c r="M410" s="114"/>
      <c r="N410" s="182"/>
      <c r="O410" s="115"/>
      <c r="P410" s="115"/>
      <c r="Q410" s="116"/>
      <c r="R410" s="115"/>
      <c r="S410" s="115"/>
      <c r="T410" s="106"/>
      <c r="U410" s="106"/>
      <c r="V410" s="106"/>
      <c r="W410" s="73"/>
      <c r="X410" s="73"/>
      <c r="Y410" s="73"/>
      <c r="Z410" s="73"/>
      <c r="AA410" s="111" t="s">
        <v>455</v>
      </c>
      <c r="AB410" s="118"/>
      <c r="AC410" s="106"/>
      <c r="AD410" s="106"/>
      <c r="AE410" s="2"/>
      <c r="AF410" s="2"/>
    </row>
    <row r="411" spans="1:32" outlineLevel="1">
      <c r="A411" s="106">
        <v>410</v>
      </c>
      <c r="B411" s="73"/>
      <c r="C411" s="73"/>
      <c r="D411" s="216"/>
      <c r="E411" s="75"/>
      <c r="F411" s="218"/>
      <c r="G411" s="75" t="s">
        <v>2446</v>
      </c>
      <c r="H411" s="75"/>
      <c r="I411" s="75"/>
      <c r="J411" s="76"/>
      <c r="K411" s="73"/>
      <c r="L411" s="113"/>
      <c r="M411" s="114"/>
      <c r="N411" s="182"/>
      <c r="O411" s="115"/>
      <c r="P411" s="115"/>
      <c r="Q411" s="116"/>
      <c r="R411" s="115"/>
      <c r="S411" s="115"/>
      <c r="T411" s="106"/>
      <c r="U411" s="106"/>
      <c r="V411" s="106"/>
      <c r="W411" s="73"/>
      <c r="X411" s="73"/>
      <c r="Y411" s="73"/>
      <c r="Z411" s="73"/>
      <c r="AA411" s="111" t="s">
        <v>455</v>
      </c>
      <c r="AB411" s="118"/>
      <c r="AC411" s="106"/>
      <c r="AD411" s="106"/>
      <c r="AE411" s="2"/>
      <c r="AF411" s="2"/>
    </row>
    <row r="412" spans="1:32" outlineLevel="1">
      <c r="A412" s="106">
        <v>411</v>
      </c>
      <c r="B412" s="73"/>
      <c r="C412" s="73"/>
      <c r="D412" s="216"/>
      <c r="E412" s="75"/>
      <c r="F412" s="218"/>
      <c r="G412" s="75" t="s">
        <v>2449</v>
      </c>
      <c r="H412" s="75"/>
      <c r="I412" s="75"/>
      <c r="J412" s="76"/>
      <c r="K412" s="73"/>
      <c r="L412" s="113"/>
      <c r="M412" s="114"/>
      <c r="N412" s="182"/>
      <c r="O412" s="115"/>
      <c r="P412" s="115"/>
      <c r="Q412" s="116"/>
      <c r="R412" s="115"/>
      <c r="S412" s="115"/>
      <c r="T412" s="106"/>
      <c r="U412" s="106"/>
      <c r="V412" s="106"/>
      <c r="W412" s="73"/>
      <c r="X412" s="73"/>
      <c r="Y412" s="73"/>
      <c r="Z412" s="73"/>
      <c r="AA412" s="111" t="s">
        <v>455</v>
      </c>
      <c r="AB412" s="118"/>
      <c r="AC412" s="106"/>
      <c r="AD412" s="106"/>
      <c r="AE412" s="2"/>
      <c r="AF412" s="2"/>
    </row>
    <row r="413" spans="1:32" s="101" customFormat="1">
      <c r="A413" s="106">
        <v>412</v>
      </c>
      <c r="B413" s="83"/>
      <c r="C413" s="83"/>
      <c r="D413" s="220"/>
      <c r="E413" s="84"/>
      <c r="F413" s="221"/>
      <c r="G413" s="84"/>
      <c r="H413" s="84"/>
      <c r="I413" s="84"/>
      <c r="J413" s="84"/>
      <c r="K413" s="83"/>
      <c r="L413" s="121"/>
      <c r="M413" s="122"/>
      <c r="N413" s="183"/>
      <c r="O413" s="123"/>
      <c r="P413" s="123"/>
      <c r="Q413" s="124"/>
      <c r="R413" s="123"/>
      <c r="S413" s="123"/>
      <c r="T413" s="125"/>
      <c r="U413" s="125"/>
      <c r="V413" s="125"/>
      <c r="W413" s="83"/>
      <c r="X413" s="83"/>
      <c r="Y413" s="83"/>
      <c r="Z413" s="83"/>
      <c r="AA413" s="126"/>
      <c r="AB413" s="127"/>
      <c r="AC413" s="125"/>
      <c r="AD413" s="125"/>
      <c r="AE413" s="100"/>
      <c r="AF413" s="100"/>
    </row>
    <row r="414" spans="1:32" outlineLevel="1">
      <c r="A414" s="106">
        <v>413</v>
      </c>
      <c r="B414" s="73"/>
      <c r="C414" s="73" t="s">
        <v>183</v>
      </c>
      <c r="D414" s="216" t="s">
        <v>2461</v>
      </c>
      <c r="E414" s="75"/>
      <c r="F414" s="218" t="s">
        <v>2461</v>
      </c>
      <c r="G414" s="75"/>
      <c r="H414" s="75"/>
      <c r="I414" s="75"/>
      <c r="J414" s="76"/>
      <c r="K414" s="73"/>
      <c r="L414" s="113"/>
      <c r="M414" s="114"/>
      <c r="N414" s="182"/>
      <c r="O414" s="115"/>
      <c r="P414" s="115"/>
      <c r="Q414" s="116"/>
      <c r="R414" s="115"/>
      <c r="S414" s="115"/>
      <c r="T414" s="106"/>
      <c r="U414" s="106"/>
      <c r="V414" s="106"/>
      <c r="W414" s="73"/>
      <c r="X414" s="73"/>
      <c r="Y414" s="73"/>
      <c r="Z414" s="73"/>
      <c r="AA414" s="112"/>
      <c r="AB414" s="118"/>
      <c r="AC414" s="106"/>
      <c r="AD414" s="106"/>
      <c r="AE414" s="2"/>
      <c r="AF414" s="2"/>
    </row>
    <row r="415" spans="1:32" outlineLevel="1">
      <c r="A415" s="106">
        <v>414</v>
      </c>
      <c r="B415" s="73" t="s">
        <v>2462</v>
      </c>
      <c r="C415" s="73" t="s">
        <v>183</v>
      </c>
      <c r="D415" s="216"/>
      <c r="E415" s="217" t="s">
        <v>2463</v>
      </c>
      <c r="F415" s="218"/>
      <c r="G415" s="75" t="s">
        <v>2464</v>
      </c>
      <c r="H415" s="75" t="s">
        <v>2465</v>
      </c>
      <c r="I415" s="75"/>
      <c r="J415" s="76"/>
      <c r="K415" s="77" t="s">
        <v>1592</v>
      </c>
      <c r="L415" s="107"/>
      <c r="M415" s="108"/>
      <c r="N415" s="181"/>
      <c r="O415" s="119" t="s">
        <v>34</v>
      </c>
      <c r="P415" s="120">
        <v>46181</v>
      </c>
      <c r="Q415" s="173" t="s">
        <v>1566</v>
      </c>
      <c r="R415" s="109"/>
      <c r="S415" s="109"/>
      <c r="T415" s="106"/>
      <c r="U415" s="106"/>
      <c r="V415" s="106"/>
      <c r="W415" s="73" t="s">
        <v>2629</v>
      </c>
      <c r="X415" s="73">
        <v>1</v>
      </c>
      <c r="Y415" s="73">
        <v>1</v>
      </c>
      <c r="Z415" s="73"/>
      <c r="AA415" s="112"/>
      <c r="AB415" s="118"/>
      <c r="AC415" s="106"/>
      <c r="AD415" s="106"/>
      <c r="AE415" s="2"/>
      <c r="AF415" s="2"/>
    </row>
    <row r="416" spans="1:32" s="79" customFormat="1">
      <c r="A416" s="80" t="s">
        <v>1763</v>
      </c>
      <c r="B416" s="73"/>
      <c r="C416" s="74" t="s">
        <v>2466</v>
      </c>
      <c r="D416" s="216"/>
      <c r="E416" s="227" t="s">
        <v>2467</v>
      </c>
      <c r="F416" s="218"/>
      <c r="G416" s="75"/>
      <c r="H416" s="75"/>
      <c r="I416" s="75" t="s">
        <v>1724</v>
      </c>
      <c r="J416" s="76"/>
      <c r="K416" s="73"/>
      <c r="L416" s="73"/>
      <c r="M416" s="73"/>
      <c r="N416" s="184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8"/>
      <c r="AC416" s="130"/>
      <c r="AD416" s="130"/>
    </row>
    <row r="417" spans="1:32" outlineLevel="1">
      <c r="A417" s="106">
        <v>416</v>
      </c>
      <c r="B417" s="73" t="s">
        <v>2468</v>
      </c>
      <c r="C417" s="73" t="s">
        <v>1897</v>
      </c>
      <c r="D417" s="216"/>
      <c r="E417" s="227" t="s">
        <v>2469</v>
      </c>
      <c r="F417" s="218"/>
      <c r="G417" s="75"/>
      <c r="H417" s="75"/>
      <c r="I417" s="75" t="s">
        <v>1780</v>
      </c>
      <c r="J417" s="76"/>
      <c r="K417" s="77" t="s">
        <v>1592</v>
      </c>
      <c r="L417" s="107"/>
      <c r="M417" s="108"/>
      <c r="N417" s="181"/>
      <c r="O417" s="119" t="s">
        <v>34</v>
      </c>
      <c r="P417" s="120">
        <v>46181</v>
      </c>
      <c r="Q417" s="173" t="s">
        <v>1566</v>
      </c>
      <c r="R417" s="109"/>
      <c r="S417" s="109"/>
      <c r="T417" s="106"/>
      <c r="U417" s="106"/>
      <c r="V417" s="106"/>
      <c r="W417" s="73" t="s">
        <v>2633</v>
      </c>
      <c r="X417" s="73">
        <v>1</v>
      </c>
      <c r="Y417" s="73">
        <v>2</v>
      </c>
      <c r="Z417" s="73"/>
      <c r="AA417" s="112"/>
      <c r="AB417" s="118"/>
      <c r="AC417" s="106"/>
      <c r="AD417" s="106"/>
      <c r="AE417" s="2"/>
      <c r="AF417" s="2"/>
    </row>
    <row r="418" spans="1:32" outlineLevel="1">
      <c r="A418" s="106">
        <v>417</v>
      </c>
      <c r="B418" s="73" t="s">
        <v>2470</v>
      </c>
      <c r="C418" s="73" t="s">
        <v>1897</v>
      </c>
      <c r="D418" s="216"/>
      <c r="E418" s="217" t="s">
        <v>2471</v>
      </c>
      <c r="F418" s="218"/>
      <c r="G418" s="75"/>
      <c r="H418" s="75"/>
      <c r="I418" s="75" t="s">
        <v>2472</v>
      </c>
      <c r="J418" s="76"/>
      <c r="K418" s="77" t="s">
        <v>1592</v>
      </c>
      <c r="L418" s="107"/>
      <c r="M418" s="108"/>
      <c r="N418" s="181"/>
      <c r="O418" s="119" t="s">
        <v>34</v>
      </c>
      <c r="P418" s="120">
        <v>46181</v>
      </c>
      <c r="Q418" s="173" t="s">
        <v>1566</v>
      </c>
      <c r="R418" s="109"/>
      <c r="S418" s="109"/>
      <c r="T418" s="106"/>
      <c r="U418" s="106"/>
      <c r="V418" s="106"/>
      <c r="W418" s="73" t="s">
        <v>2632</v>
      </c>
      <c r="X418" s="73"/>
      <c r="Y418" s="73">
        <v>1</v>
      </c>
      <c r="Z418" s="73">
        <v>1</v>
      </c>
      <c r="AA418" s="111" t="s">
        <v>458</v>
      </c>
      <c r="AB418" s="118"/>
      <c r="AC418" s="106"/>
      <c r="AD418" s="106"/>
      <c r="AE418" s="2"/>
      <c r="AF418" s="2"/>
    </row>
    <row r="419" spans="1:32" outlineLevel="1">
      <c r="A419" s="106">
        <v>418</v>
      </c>
      <c r="B419" s="73" t="s">
        <v>2473</v>
      </c>
      <c r="C419" s="87" t="s">
        <v>1883</v>
      </c>
      <c r="D419" s="216"/>
      <c r="E419" s="227" t="s">
        <v>2474</v>
      </c>
      <c r="F419" s="218" t="s">
        <v>2475</v>
      </c>
      <c r="G419" s="75" t="s">
        <v>2476</v>
      </c>
      <c r="H419" s="75" t="s">
        <v>2477</v>
      </c>
      <c r="I419" s="75"/>
      <c r="J419" s="76"/>
      <c r="K419" s="77" t="s">
        <v>1592</v>
      </c>
      <c r="L419" s="107"/>
      <c r="M419" s="108"/>
      <c r="N419" s="181"/>
      <c r="O419" s="119" t="s">
        <v>34</v>
      </c>
      <c r="P419" s="120">
        <v>46181</v>
      </c>
      <c r="Q419" s="173" t="s">
        <v>1566</v>
      </c>
      <c r="R419" s="109"/>
      <c r="S419" s="109"/>
      <c r="T419" s="106"/>
      <c r="U419" s="106"/>
      <c r="V419" s="106"/>
      <c r="W419" s="73" t="s">
        <v>2633</v>
      </c>
      <c r="X419" s="73">
        <v>1</v>
      </c>
      <c r="Y419" s="73">
        <v>1</v>
      </c>
      <c r="Z419" s="73"/>
      <c r="AA419" s="112"/>
      <c r="AB419" s="118"/>
      <c r="AC419" s="106" t="s">
        <v>177</v>
      </c>
      <c r="AD419" s="106" t="s">
        <v>459</v>
      </c>
      <c r="AE419" s="2"/>
      <c r="AF419" s="2"/>
    </row>
    <row r="420" spans="1:32" s="79" customFormat="1">
      <c r="A420" s="80" t="s">
        <v>1763</v>
      </c>
      <c r="B420" s="73"/>
      <c r="C420" s="73"/>
      <c r="D420" s="216"/>
      <c r="E420" s="215" t="s">
        <v>2478</v>
      </c>
      <c r="F420" s="218"/>
      <c r="G420" s="75"/>
      <c r="H420" s="75"/>
      <c r="I420" s="75" t="s">
        <v>1724</v>
      </c>
      <c r="J420" s="76"/>
      <c r="K420" s="73"/>
      <c r="L420" s="73"/>
      <c r="M420" s="73"/>
      <c r="N420" s="184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8"/>
      <c r="AC420" s="130"/>
      <c r="AD420" s="130"/>
    </row>
    <row r="421" spans="1:32" outlineLevel="1">
      <c r="A421" s="106">
        <v>420</v>
      </c>
      <c r="B421" s="73" t="s">
        <v>2479</v>
      </c>
      <c r="C421" s="73" t="s">
        <v>2480</v>
      </c>
      <c r="D421" s="216"/>
      <c r="E421" s="227" t="s">
        <v>2481</v>
      </c>
      <c r="F421" s="218"/>
      <c r="G421" s="75"/>
      <c r="H421" s="75"/>
      <c r="I421" s="75" t="s">
        <v>2482</v>
      </c>
      <c r="J421" s="76"/>
      <c r="K421" s="77" t="s">
        <v>1592</v>
      </c>
      <c r="L421" s="113"/>
      <c r="M421" s="114"/>
      <c r="N421" s="182"/>
      <c r="O421" s="115"/>
      <c r="P421" s="115"/>
      <c r="Q421" s="116"/>
      <c r="R421" s="115"/>
      <c r="S421" s="115"/>
      <c r="T421" s="106"/>
      <c r="U421" s="106"/>
      <c r="V421" s="106"/>
      <c r="W421" s="73" t="s">
        <v>2630</v>
      </c>
      <c r="X421" s="73"/>
      <c r="Y421" s="73">
        <v>1</v>
      </c>
      <c r="Z421" s="73">
        <v>1</v>
      </c>
      <c r="AA421" s="112"/>
      <c r="AB421" s="118"/>
      <c r="AC421" s="106"/>
      <c r="AD421" s="106"/>
      <c r="AE421" s="2"/>
      <c r="AF421" s="2"/>
    </row>
    <row r="422" spans="1:32" outlineLevel="1">
      <c r="A422" s="106">
        <v>421</v>
      </c>
      <c r="B422" s="73" t="s">
        <v>460</v>
      </c>
      <c r="C422" s="73" t="s">
        <v>1897</v>
      </c>
      <c r="D422" s="216"/>
      <c r="E422" s="226" t="s">
        <v>2483</v>
      </c>
      <c r="F422" s="218"/>
      <c r="G422" s="75"/>
      <c r="H422" s="75"/>
      <c r="I422" s="75" t="s">
        <v>1780</v>
      </c>
      <c r="J422" s="76"/>
      <c r="K422" s="77" t="s">
        <v>1592</v>
      </c>
      <c r="L422" s="107"/>
      <c r="M422" s="108"/>
      <c r="N422" s="181"/>
      <c r="O422" s="119" t="s">
        <v>34</v>
      </c>
      <c r="P422" s="120">
        <v>46181</v>
      </c>
      <c r="Q422" s="173" t="s">
        <v>1566</v>
      </c>
      <c r="R422" s="109"/>
      <c r="S422" s="109"/>
      <c r="T422" s="106"/>
      <c r="U422" s="106"/>
      <c r="V422" s="106"/>
      <c r="W422" s="73" t="s">
        <v>2629</v>
      </c>
      <c r="X422" s="73">
        <v>1</v>
      </c>
      <c r="Y422" s="73">
        <v>1</v>
      </c>
      <c r="Z422" s="73"/>
      <c r="AA422" s="112"/>
      <c r="AB422" s="118"/>
      <c r="AC422" s="106"/>
      <c r="AD422" s="106"/>
      <c r="AE422" s="2"/>
      <c r="AF422" s="2"/>
    </row>
    <row r="423" spans="1:32" outlineLevel="1">
      <c r="A423" s="106">
        <v>422</v>
      </c>
      <c r="B423" s="73" t="s">
        <v>2484</v>
      </c>
      <c r="C423" s="73" t="s">
        <v>183</v>
      </c>
      <c r="D423" s="216"/>
      <c r="E423" s="226" t="s">
        <v>2485</v>
      </c>
      <c r="F423" s="218"/>
      <c r="G423" s="75"/>
      <c r="H423" s="75" t="s">
        <v>2486</v>
      </c>
      <c r="I423" s="75" t="s">
        <v>2159</v>
      </c>
      <c r="J423" s="76"/>
      <c r="K423" s="77" t="s">
        <v>1592</v>
      </c>
      <c r="L423" s="107"/>
      <c r="M423" s="108"/>
      <c r="N423" s="181"/>
      <c r="O423" s="119" t="s">
        <v>34</v>
      </c>
      <c r="P423" s="120">
        <v>46181</v>
      </c>
      <c r="Q423" s="173" t="s">
        <v>1566</v>
      </c>
      <c r="R423" s="109"/>
      <c r="S423" s="109"/>
      <c r="T423" s="106"/>
      <c r="U423" s="106"/>
      <c r="V423" s="106"/>
      <c r="W423" s="73" t="s">
        <v>2628</v>
      </c>
      <c r="X423" s="73">
        <v>1</v>
      </c>
      <c r="Y423" s="73">
        <v>1</v>
      </c>
      <c r="Z423" s="73"/>
      <c r="AA423" s="112"/>
      <c r="AB423" s="118"/>
      <c r="AC423" s="106"/>
      <c r="AD423" s="106"/>
      <c r="AE423" s="2"/>
      <c r="AF423" s="2"/>
    </row>
    <row r="424" spans="1:32" s="101" customFormat="1">
      <c r="A424" s="106">
        <v>423</v>
      </c>
      <c r="B424" s="83"/>
      <c r="C424" s="83"/>
      <c r="D424" s="220"/>
      <c r="E424" s="84"/>
      <c r="F424" s="221"/>
      <c r="G424" s="84"/>
      <c r="H424" s="84"/>
      <c r="I424" s="84"/>
      <c r="J424" s="84"/>
      <c r="K424" s="83"/>
      <c r="L424" s="121"/>
      <c r="M424" s="122"/>
      <c r="N424" s="183"/>
      <c r="O424" s="123"/>
      <c r="P424" s="123"/>
      <c r="Q424" s="124"/>
      <c r="R424" s="123"/>
      <c r="S424" s="123"/>
      <c r="T424" s="125"/>
      <c r="U424" s="125"/>
      <c r="V424" s="125"/>
      <c r="W424" s="83"/>
      <c r="X424" s="83"/>
      <c r="Y424" s="83"/>
      <c r="Z424" s="83"/>
      <c r="AA424" s="126"/>
      <c r="AB424" s="127"/>
      <c r="AC424" s="125"/>
      <c r="AD424" s="125"/>
      <c r="AE424" s="100"/>
      <c r="AF424" s="100"/>
    </row>
    <row r="425" spans="1:32" outlineLevel="1">
      <c r="A425" s="106">
        <v>424</v>
      </c>
      <c r="B425" s="73"/>
      <c r="C425" s="85" t="s">
        <v>1603</v>
      </c>
      <c r="D425" s="216" t="s">
        <v>2487</v>
      </c>
      <c r="E425" s="75"/>
      <c r="F425" s="218" t="s">
        <v>2487</v>
      </c>
      <c r="G425" s="75"/>
      <c r="H425" s="75"/>
      <c r="I425" s="75"/>
      <c r="J425" s="76"/>
      <c r="K425" s="73"/>
      <c r="L425" s="113"/>
      <c r="M425" s="114"/>
      <c r="N425" s="182"/>
      <c r="O425" s="115"/>
      <c r="P425" s="115"/>
      <c r="Q425" s="116"/>
      <c r="R425" s="115"/>
      <c r="S425" s="115"/>
      <c r="T425" s="106"/>
      <c r="U425" s="106"/>
      <c r="V425" s="106"/>
      <c r="W425" s="73"/>
      <c r="X425" s="73"/>
      <c r="Y425" s="73"/>
      <c r="Z425" s="73"/>
      <c r="AA425" s="112"/>
      <c r="AB425" s="118"/>
      <c r="AC425" s="106"/>
      <c r="AD425" s="106"/>
      <c r="AE425" s="2"/>
      <c r="AF425" s="2"/>
    </row>
    <row r="426" spans="1:32" outlineLevel="1">
      <c r="A426" s="106">
        <v>425</v>
      </c>
      <c r="B426" s="73" t="s">
        <v>2488</v>
      </c>
      <c r="C426" s="73"/>
      <c r="D426" s="216"/>
      <c r="E426" s="215" t="s">
        <v>2489</v>
      </c>
      <c r="F426" s="218"/>
      <c r="G426" s="75" t="s">
        <v>2490</v>
      </c>
      <c r="H426" s="75" t="s">
        <v>2490</v>
      </c>
      <c r="I426" s="75"/>
      <c r="J426" s="76"/>
      <c r="K426" s="77" t="s">
        <v>1592</v>
      </c>
      <c r="L426" s="107" t="s">
        <v>25</v>
      </c>
      <c r="M426" s="132"/>
      <c r="N426" s="181" t="s">
        <v>39</v>
      </c>
      <c r="O426" s="119" t="s">
        <v>34</v>
      </c>
      <c r="P426" s="120">
        <v>46181</v>
      </c>
      <c r="Q426" s="134" t="s">
        <v>1572</v>
      </c>
      <c r="R426" s="133"/>
      <c r="S426" s="133"/>
      <c r="T426" s="106"/>
      <c r="U426" s="106"/>
      <c r="V426" s="106"/>
      <c r="W426" s="73" t="s">
        <v>2628</v>
      </c>
      <c r="X426" s="73">
        <v>1</v>
      </c>
      <c r="Y426" s="73">
        <v>1</v>
      </c>
      <c r="Z426" s="73"/>
      <c r="AA426" s="111" t="s">
        <v>462</v>
      </c>
      <c r="AB426" s="118"/>
      <c r="AC426" s="106" t="s">
        <v>177</v>
      </c>
      <c r="AD426" s="106" t="s">
        <v>463</v>
      </c>
      <c r="AE426" s="2"/>
      <c r="AF426" s="2"/>
    </row>
    <row r="427" spans="1:32" outlineLevel="1">
      <c r="A427" s="106">
        <v>426</v>
      </c>
      <c r="B427" s="73"/>
      <c r="C427" s="73"/>
      <c r="D427" s="216"/>
      <c r="E427" s="75"/>
      <c r="F427" s="218"/>
      <c r="G427" s="75"/>
      <c r="H427" s="75" t="s">
        <v>2491</v>
      </c>
      <c r="I427" s="75"/>
      <c r="J427" s="76"/>
      <c r="K427" s="73"/>
      <c r="L427" s="131"/>
      <c r="M427" s="132"/>
      <c r="N427" s="185"/>
      <c r="O427" s="133"/>
      <c r="P427" s="133"/>
      <c r="Q427" s="134"/>
      <c r="R427" s="133"/>
      <c r="S427" s="133"/>
      <c r="T427" s="106"/>
      <c r="U427" s="106"/>
      <c r="V427" s="106"/>
      <c r="W427" s="73" t="s">
        <v>2631</v>
      </c>
      <c r="X427" s="73">
        <v>1</v>
      </c>
      <c r="Y427" s="73">
        <v>1</v>
      </c>
      <c r="Z427" s="73"/>
      <c r="AA427" s="111" t="s">
        <v>464</v>
      </c>
      <c r="AB427" s="118"/>
      <c r="AC427" s="106" t="s">
        <v>177</v>
      </c>
      <c r="AD427" s="106" t="s">
        <v>463</v>
      </c>
      <c r="AE427" s="2"/>
      <c r="AF427" s="2"/>
    </row>
    <row r="428" spans="1:32" outlineLevel="1">
      <c r="A428" s="106">
        <v>427</v>
      </c>
      <c r="B428" s="73"/>
      <c r="C428" s="73"/>
      <c r="D428" s="216"/>
      <c r="E428" s="75"/>
      <c r="F428" s="218"/>
      <c r="G428" s="75"/>
      <c r="H428" s="75" t="s">
        <v>2492</v>
      </c>
      <c r="I428" s="75"/>
      <c r="J428" s="76"/>
      <c r="K428" s="73"/>
      <c r="L428" s="131"/>
      <c r="M428" s="132"/>
      <c r="N428" s="185"/>
      <c r="O428" s="133"/>
      <c r="P428" s="133"/>
      <c r="Q428" s="134"/>
      <c r="R428" s="133"/>
      <c r="S428" s="133"/>
      <c r="T428" s="106"/>
      <c r="U428" s="106"/>
      <c r="V428" s="106"/>
      <c r="W428" s="73" t="s">
        <v>2631</v>
      </c>
      <c r="X428" s="73">
        <v>1</v>
      </c>
      <c r="Y428" s="73">
        <v>1</v>
      </c>
      <c r="Z428" s="73"/>
      <c r="AA428" s="111" t="s">
        <v>465</v>
      </c>
      <c r="AB428" s="118"/>
      <c r="AC428" s="106" t="s">
        <v>177</v>
      </c>
      <c r="AD428" s="106" t="s">
        <v>463</v>
      </c>
      <c r="AE428" s="2"/>
      <c r="AF428" s="2"/>
    </row>
    <row r="429" spans="1:32" outlineLevel="1">
      <c r="A429" s="106">
        <v>428</v>
      </c>
      <c r="B429" s="73" t="s">
        <v>466</v>
      </c>
      <c r="C429" s="73"/>
      <c r="D429" s="216"/>
      <c r="E429" s="227" t="s">
        <v>2493</v>
      </c>
      <c r="F429" s="218"/>
      <c r="G429" s="75"/>
      <c r="H429" s="75"/>
      <c r="I429" s="75" t="s">
        <v>2494</v>
      </c>
      <c r="J429" s="76"/>
      <c r="K429" s="77" t="s">
        <v>1592</v>
      </c>
      <c r="L429" s="107" t="s">
        <v>25</v>
      </c>
      <c r="M429" s="132"/>
      <c r="N429" s="181" t="s">
        <v>39</v>
      </c>
      <c r="O429" s="119" t="s">
        <v>34</v>
      </c>
      <c r="P429" s="120">
        <v>46181</v>
      </c>
      <c r="Q429" s="177" t="s">
        <v>1564</v>
      </c>
      <c r="R429" s="133"/>
      <c r="S429" s="133"/>
      <c r="T429" s="106"/>
      <c r="U429" s="106"/>
      <c r="V429" s="106"/>
      <c r="W429" s="73" t="s">
        <v>2629</v>
      </c>
      <c r="X429" s="73">
        <v>1</v>
      </c>
      <c r="Y429" s="73">
        <v>1</v>
      </c>
      <c r="Z429" s="73"/>
      <c r="AA429" s="112"/>
      <c r="AB429" s="118"/>
      <c r="AC429" s="106" t="s">
        <v>177</v>
      </c>
      <c r="AD429" s="106" t="s">
        <v>463</v>
      </c>
      <c r="AE429" s="2"/>
      <c r="AF429" s="2"/>
    </row>
    <row r="430" spans="1:32" outlineLevel="1">
      <c r="A430" s="106">
        <v>429</v>
      </c>
      <c r="B430" s="73"/>
      <c r="C430" s="73"/>
      <c r="D430" s="216"/>
      <c r="E430" s="75" t="s">
        <v>2495</v>
      </c>
      <c r="F430" s="218"/>
      <c r="G430" s="75" t="s">
        <v>2496</v>
      </c>
      <c r="H430" s="75" t="s">
        <v>2497</v>
      </c>
      <c r="I430" s="75"/>
      <c r="J430" s="76"/>
      <c r="K430" s="73"/>
      <c r="L430" s="131"/>
      <c r="M430" s="132"/>
      <c r="N430" s="185"/>
      <c r="O430" s="133"/>
      <c r="P430" s="133"/>
      <c r="Q430" s="134"/>
      <c r="R430" s="133"/>
      <c r="S430" s="133"/>
      <c r="T430" s="106"/>
      <c r="U430" s="106"/>
      <c r="V430" s="106"/>
      <c r="W430" s="73" t="s">
        <v>2633</v>
      </c>
      <c r="X430" s="73">
        <v>1</v>
      </c>
      <c r="Y430" s="73">
        <v>1</v>
      </c>
      <c r="Z430" s="73"/>
      <c r="AA430" s="111" t="s">
        <v>465</v>
      </c>
      <c r="AB430" s="128" t="s">
        <v>467</v>
      </c>
      <c r="AC430" s="106"/>
      <c r="AD430" s="106"/>
      <c r="AE430" s="2"/>
      <c r="AF430" s="2"/>
    </row>
    <row r="431" spans="1:32" outlineLevel="1">
      <c r="A431" s="106">
        <v>430</v>
      </c>
      <c r="B431" s="73"/>
      <c r="C431" s="73"/>
      <c r="D431" s="216"/>
      <c r="E431" s="75"/>
      <c r="F431" s="218"/>
      <c r="G431" s="75"/>
      <c r="H431" s="75" t="s">
        <v>2498</v>
      </c>
      <c r="I431" s="75"/>
      <c r="J431" s="76"/>
      <c r="K431" s="73"/>
      <c r="L431" s="131"/>
      <c r="M431" s="132"/>
      <c r="N431" s="185"/>
      <c r="O431" s="133"/>
      <c r="P431" s="133"/>
      <c r="Q431" s="134"/>
      <c r="R431" s="133"/>
      <c r="S431" s="133"/>
      <c r="T431" s="106"/>
      <c r="U431" s="106"/>
      <c r="V431" s="106"/>
      <c r="W431" s="73" t="s">
        <v>2631</v>
      </c>
      <c r="X431" s="73">
        <v>1</v>
      </c>
      <c r="Y431" s="73">
        <v>1</v>
      </c>
      <c r="Z431" s="73"/>
      <c r="AA431" s="111" t="s">
        <v>465</v>
      </c>
      <c r="AB431" s="118"/>
      <c r="AC431" s="106"/>
      <c r="AD431" s="106"/>
      <c r="AE431" s="2"/>
      <c r="AF431" s="2"/>
    </row>
    <row r="432" spans="1:32" outlineLevel="1">
      <c r="A432" s="106">
        <v>431</v>
      </c>
      <c r="B432" s="73"/>
      <c r="C432" s="73"/>
      <c r="D432" s="216"/>
      <c r="E432" s="75"/>
      <c r="F432" s="218"/>
      <c r="G432" s="75"/>
      <c r="H432" s="75" t="s">
        <v>2499</v>
      </c>
      <c r="I432" s="75"/>
      <c r="J432" s="76"/>
      <c r="K432" s="73"/>
      <c r="L432" s="131"/>
      <c r="M432" s="132"/>
      <c r="N432" s="185"/>
      <c r="O432" s="133"/>
      <c r="P432" s="133"/>
      <c r="Q432" s="134"/>
      <c r="R432" s="133"/>
      <c r="S432" s="133"/>
      <c r="T432" s="106"/>
      <c r="U432" s="106"/>
      <c r="V432" s="106"/>
      <c r="W432" s="73" t="s">
        <v>2633</v>
      </c>
      <c r="X432" s="73">
        <v>1</v>
      </c>
      <c r="Y432" s="73">
        <v>1</v>
      </c>
      <c r="Z432" s="73"/>
      <c r="AA432" s="111" t="s">
        <v>465</v>
      </c>
      <c r="AB432" s="118"/>
      <c r="AC432" s="106"/>
      <c r="AD432" s="106"/>
      <c r="AE432" s="2"/>
      <c r="AF432" s="2"/>
    </row>
    <row r="433" spans="1:32" outlineLevel="1">
      <c r="A433" s="106">
        <v>432</v>
      </c>
      <c r="B433" s="73"/>
      <c r="C433" s="73"/>
      <c r="D433" s="216"/>
      <c r="E433" s="75"/>
      <c r="F433" s="218"/>
      <c r="G433" s="75"/>
      <c r="H433" s="75" t="s">
        <v>2500</v>
      </c>
      <c r="I433" s="75"/>
      <c r="J433" s="76"/>
      <c r="K433" s="73"/>
      <c r="L433" s="131"/>
      <c r="M433" s="132"/>
      <c r="N433" s="185"/>
      <c r="O433" s="133"/>
      <c r="P433" s="133"/>
      <c r="Q433" s="134"/>
      <c r="R433" s="133"/>
      <c r="S433" s="133"/>
      <c r="T433" s="106"/>
      <c r="U433" s="106"/>
      <c r="V433" s="106"/>
      <c r="W433" s="73" t="s">
        <v>2629</v>
      </c>
      <c r="X433" s="73">
        <v>1</v>
      </c>
      <c r="Y433" s="73">
        <v>1</v>
      </c>
      <c r="Z433" s="73"/>
      <c r="AA433" s="111" t="s">
        <v>465</v>
      </c>
      <c r="AB433" s="118"/>
      <c r="AC433" s="106"/>
      <c r="AD433" s="106"/>
      <c r="AE433" s="2"/>
      <c r="AF433" s="2"/>
    </row>
    <row r="434" spans="1:32" outlineLevel="1">
      <c r="A434" s="106">
        <v>433</v>
      </c>
      <c r="B434" s="73"/>
      <c r="C434" s="73"/>
      <c r="D434" s="216"/>
      <c r="E434" s="75" t="s">
        <v>2501</v>
      </c>
      <c r="F434" s="218"/>
      <c r="G434" s="75"/>
      <c r="H434" s="75"/>
      <c r="I434" s="75" t="s">
        <v>2502</v>
      </c>
      <c r="J434" s="76"/>
      <c r="K434" s="73"/>
      <c r="L434" s="131"/>
      <c r="M434" s="132"/>
      <c r="N434" s="185"/>
      <c r="O434" s="133"/>
      <c r="P434" s="133"/>
      <c r="Q434" s="134"/>
      <c r="R434" s="133"/>
      <c r="S434" s="133"/>
      <c r="T434" s="106"/>
      <c r="U434" s="106"/>
      <c r="V434" s="106"/>
      <c r="W434" s="73" t="s">
        <v>2633</v>
      </c>
      <c r="X434" s="73">
        <v>1</v>
      </c>
      <c r="Y434" s="73">
        <v>1</v>
      </c>
      <c r="Z434" s="73"/>
      <c r="AA434" s="112"/>
      <c r="AB434" s="118"/>
      <c r="AC434" s="106"/>
      <c r="AD434" s="106"/>
      <c r="AE434" s="2"/>
      <c r="AF434" s="2"/>
    </row>
    <row r="435" spans="1:32" outlineLevel="1">
      <c r="A435" s="106">
        <v>434</v>
      </c>
      <c r="B435" s="73" t="s">
        <v>2503</v>
      </c>
      <c r="C435" s="73"/>
      <c r="D435" s="216"/>
      <c r="E435" s="215" t="s">
        <v>2504</v>
      </c>
      <c r="F435" s="218"/>
      <c r="G435" s="75" t="s">
        <v>2505</v>
      </c>
      <c r="H435" s="75"/>
      <c r="I435" s="75"/>
      <c r="J435" s="76"/>
      <c r="K435" s="77" t="s">
        <v>1592</v>
      </c>
      <c r="L435" s="131"/>
      <c r="M435" s="132"/>
      <c r="N435" s="185"/>
      <c r="O435" s="133"/>
      <c r="P435" s="133"/>
      <c r="Q435" s="134"/>
      <c r="R435" s="133"/>
      <c r="S435" s="133"/>
      <c r="T435" s="106"/>
      <c r="U435" s="106"/>
      <c r="V435" s="106"/>
      <c r="W435" s="73" t="s">
        <v>2629</v>
      </c>
      <c r="X435" s="73">
        <v>1</v>
      </c>
      <c r="Y435" s="73">
        <v>1</v>
      </c>
      <c r="Z435" s="73"/>
      <c r="AA435" s="111" t="s">
        <v>465</v>
      </c>
      <c r="AB435" s="118"/>
      <c r="AC435" s="106" t="s">
        <v>177</v>
      </c>
      <c r="AD435" s="106" t="s">
        <v>463</v>
      </c>
      <c r="AE435" s="2"/>
      <c r="AF435" s="2"/>
    </row>
    <row r="436" spans="1:32" outlineLevel="1">
      <c r="A436" s="106">
        <v>435</v>
      </c>
      <c r="B436" s="73"/>
      <c r="C436" s="73"/>
      <c r="D436" s="216"/>
      <c r="E436" s="75" t="s">
        <v>2506</v>
      </c>
      <c r="F436" s="218"/>
      <c r="G436" s="75"/>
      <c r="H436" s="75" t="s">
        <v>1780</v>
      </c>
      <c r="I436" s="75"/>
      <c r="J436" s="76" t="s">
        <v>2159</v>
      </c>
      <c r="K436" s="73"/>
      <c r="L436" s="131"/>
      <c r="M436" s="132"/>
      <c r="N436" s="185"/>
      <c r="O436" s="133"/>
      <c r="P436" s="133"/>
      <c r="Q436" s="134"/>
      <c r="R436" s="133"/>
      <c r="S436" s="133"/>
      <c r="T436" s="106"/>
      <c r="U436" s="106"/>
      <c r="V436" s="106"/>
      <c r="W436" s="73"/>
      <c r="X436" s="73"/>
      <c r="Y436" s="73"/>
      <c r="Z436" s="73"/>
      <c r="AA436" s="112"/>
      <c r="AB436" s="118"/>
      <c r="AC436" s="106" t="s">
        <v>177</v>
      </c>
      <c r="AD436" s="106" t="s">
        <v>463</v>
      </c>
      <c r="AE436" s="2"/>
      <c r="AF436" s="2"/>
    </row>
    <row r="437" spans="1:32" outlineLevel="1">
      <c r="A437" s="106">
        <v>436</v>
      </c>
      <c r="B437" s="73"/>
      <c r="C437" s="73"/>
      <c r="D437" s="216"/>
      <c r="E437" s="75"/>
      <c r="F437" s="218"/>
      <c r="G437" s="75" t="s">
        <v>2507</v>
      </c>
      <c r="H437" s="75"/>
      <c r="I437" s="75"/>
      <c r="J437" s="76"/>
      <c r="K437" s="73"/>
      <c r="L437" s="131"/>
      <c r="M437" s="132"/>
      <c r="N437" s="185"/>
      <c r="O437" s="133"/>
      <c r="P437" s="133"/>
      <c r="Q437" s="134"/>
      <c r="R437" s="133"/>
      <c r="S437" s="133"/>
      <c r="T437" s="106"/>
      <c r="U437" s="106"/>
      <c r="V437" s="106"/>
      <c r="W437" s="73"/>
      <c r="X437" s="73"/>
      <c r="Y437" s="73"/>
      <c r="Z437" s="73"/>
      <c r="AA437" s="112"/>
      <c r="AB437" s="118"/>
      <c r="AC437" s="106"/>
      <c r="AD437" s="106"/>
      <c r="AE437" s="2"/>
      <c r="AF437" s="2"/>
    </row>
    <row r="438" spans="1:32" outlineLevel="1">
      <c r="A438" s="106">
        <v>437</v>
      </c>
      <c r="B438" s="73" t="s">
        <v>2508</v>
      </c>
      <c r="C438" s="73"/>
      <c r="D438" s="216"/>
      <c r="E438" s="227" t="s">
        <v>2509</v>
      </c>
      <c r="F438" s="218"/>
      <c r="G438" s="75"/>
      <c r="H438" s="176" t="s">
        <v>2510</v>
      </c>
      <c r="I438" s="75"/>
      <c r="J438" s="76"/>
      <c r="K438" s="77" t="s">
        <v>1592</v>
      </c>
      <c r="L438" s="131"/>
      <c r="M438" s="132"/>
      <c r="N438" s="185"/>
      <c r="O438" s="133"/>
      <c r="P438" s="133"/>
      <c r="Q438" s="134"/>
      <c r="R438" s="133"/>
      <c r="S438" s="133"/>
      <c r="T438" s="106"/>
      <c r="U438" s="106"/>
      <c r="V438" s="106"/>
      <c r="W438" s="73" t="s">
        <v>2629</v>
      </c>
      <c r="X438" s="73">
        <v>1</v>
      </c>
      <c r="Y438" s="73">
        <v>1</v>
      </c>
      <c r="Z438" s="73"/>
      <c r="AA438" s="111" t="s">
        <v>468</v>
      </c>
      <c r="AB438" s="118"/>
      <c r="AC438" s="106"/>
      <c r="AD438" s="106"/>
      <c r="AE438" s="2"/>
      <c r="AF438" s="2"/>
    </row>
    <row r="439" spans="1:32" outlineLevel="1">
      <c r="A439" s="106">
        <v>438</v>
      </c>
      <c r="B439" s="73" t="s">
        <v>2511</v>
      </c>
      <c r="C439" s="73"/>
      <c r="D439" s="216"/>
      <c r="E439" s="226" t="s">
        <v>2512</v>
      </c>
      <c r="F439" s="218"/>
      <c r="G439" s="75"/>
      <c r="H439" s="176" t="s">
        <v>2513</v>
      </c>
      <c r="I439" s="75"/>
      <c r="J439" s="76"/>
      <c r="K439" s="77" t="s">
        <v>1592</v>
      </c>
      <c r="L439" s="107" t="s">
        <v>25</v>
      </c>
      <c r="M439" s="132"/>
      <c r="N439" s="185"/>
      <c r="O439" s="119" t="s">
        <v>34</v>
      </c>
      <c r="P439" s="120">
        <v>46181</v>
      </c>
      <c r="Q439" s="177" t="s">
        <v>1566</v>
      </c>
      <c r="R439" s="133"/>
      <c r="S439" s="133"/>
      <c r="T439" s="106"/>
      <c r="U439" s="106"/>
      <c r="V439" s="106"/>
      <c r="W439" s="73" t="s">
        <v>2628</v>
      </c>
      <c r="X439" s="73">
        <v>1</v>
      </c>
      <c r="Y439" s="73">
        <v>1</v>
      </c>
      <c r="Z439" s="73"/>
      <c r="AA439" s="111" t="s">
        <v>469</v>
      </c>
      <c r="AB439" s="118"/>
      <c r="AC439" s="106" t="s">
        <v>470</v>
      </c>
      <c r="AD439" s="106" t="s">
        <v>471</v>
      </c>
      <c r="AE439" s="2"/>
      <c r="AF439" s="2"/>
    </row>
    <row r="440" spans="1:32" outlineLevel="1">
      <c r="A440" s="106">
        <v>439</v>
      </c>
      <c r="B440" s="73" t="s">
        <v>2514</v>
      </c>
      <c r="C440" s="73"/>
      <c r="D440" s="216"/>
      <c r="E440" s="226" t="s">
        <v>2515</v>
      </c>
      <c r="F440" s="218"/>
      <c r="G440" s="75"/>
      <c r="H440" s="75"/>
      <c r="I440" s="75" t="s">
        <v>1780</v>
      </c>
      <c r="J440" s="76"/>
      <c r="K440" s="77" t="s">
        <v>1592</v>
      </c>
      <c r="L440" s="107" t="s">
        <v>25</v>
      </c>
      <c r="M440" s="132"/>
      <c r="N440" s="185"/>
      <c r="O440" s="119" t="s">
        <v>34</v>
      </c>
      <c r="P440" s="120">
        <v>46181</v>
      </c>
      <c r="Q440" s="177" t="s">
        <v>1566</v>
      </c>
      <c r="R440" s="133"/>
      <c r="S440" s="133"/>
      <c r="T440" s="106"/>
      <c r="U440" s="106"/>
      <c r="V440" s="106"/>
      <c r="W440" s="73" t="s">
        <v>2629</v>
      </c>
      <c r="X440" s="73">
        <v>1</v>
      </c>
      <c r="Y440" s="73">
        <v>10</v>
      </c>
      <c r="Z440" s="73"/>
      <c r="AA440" s="111" t="s">
        <v>472</v>
      </c>
      <c r="AB440" s="118"/>
      <c r="AC440" s="106" t="s">
        <v>470</v>
      </c>
      <c r="AD440" s="106" t="s">
        <v>473</v>
      </c>
      <c r="AE440" s="2"/>
      <c r="AF440" s="2"/>
    </row>
    <row r="441" spans="1:32" outlineLevel="1">
      <c r="A441" s="106">
        <v>440</v>
      </c>
      <c r="B441" s="73"/>
      <c r="C441" s="73"/>
      <c r="D441" s="216"/>
      <c r="E441" s="75"/>
      <c r="F441" s="218"/>
      <c r="G441" s="75"/>
      <c r="H441" s="75"/>
      <c r="I441" s="75"/>
      <c r="J441" s="76" t="s">
        <v>2516</v>
      </c>
      <c r="K441" s="73"/>
      <c r="L441" s="113"/>
      <c r="M441" s="114"/>
      <c r="N441" s="182"/>
      <c r="O441" s="115"/>
      <c r="P441" s="115"/>
      <c r="Q441" s="116"/>
      <c r="R441" s="115"/>
      <c r="S441" s="115"/>
      <c r="T441" s="106"/>
      <c r="U441" s="106"/>
      <c r="V441" s="106"/>
      <c r="W441" s="73"/>
      <c r="X441" s="73"/>
      <c r="Y441" s="73"/>
      <c r="Z441" s="73"/>
      <c r="AA441" s="112"/>
      <c r="AB441" s="118"/>
      <c r="AC441" s="106" t="s">
        <v>470</v>
      </c>
      <c r="AD441" s="106" t="s">
        <v>471</v>
      </c>
      <c r="AE441" s="2"/>
      <c r="AF441" s="2"/>
    </row>
    <row r="442" spans="1:32" outlineLevel="1">
      <c r="A442" s="80" t="s">
        <v>2517</v>
      </c>
      <c r="B442" s="73" t="s">
        <v>2518</v>
      </c>
      <c r="C442" s="73"/>
      <c r="D442" s="216"/>
      <c r="E442" s="217" t="s">
        <v>1581</v>
      </c>
      <c r="F442" s="218"/>
      <c r="G442" s="75"/>
      <c r="H442" s="75"/>
      <c r="I442" s="176" t="s">
        <v>2519</v>
      </c>
      <c r="J442" s="76" t="s">
        <v>2520</v>
      </c>
      <c r="K442" s="77" t="s">
        <v>1592</v>
      </c>
      <c r="L442" s="113"/>
      <c r="M442" s="114"/>
      <c r="N442" s="182"/>
      <c r="O442" s="115"/>
      <c r="P442" s="115"/>
      <c r="Q442" s="116"/>
      <c r="R442" s="115"/>
      <c r="S442" s="115"/>
      <c r="T442" s="106"/>
      <c r="U442" s="106"/>
      <c r="V442" s="106"/>
      <c r="W442" s="73" t="s">
        <v>2637</v>
      </c>
      <c r="X442" s="73"/>
      <c r="Y442" s="73">
        <v>1</v>
      </c>
      <c r="Z442" s="73">
        <v>1</v>
      </c>
      <c r="AA442" s="111" t="s">
        <v>474</v>
      </c>
      <c r="AB442" s="118"/>
      <c r="AC442" s="106" t="s">
        <v>470</v>
      </c>
      <c r="AD442" s="106" t="s">
        <v>475</v>
      </c>
      <c r="AE442" s="2"/>
      <c r="AF442" s="2"/>
    </row>
    <row r="443" spans="1:32" outlineLevel="1">
      <c r="A443" s="106">
        <v>442</v>
      </c>
      <c r="B443" s="73" t="s">
        <v>2521</v>
      </c>
      <c r="C443" s="73"/>
      <c r="D443" s="216"/>
      <c r="E443" s="227" t="s">
        <v>2522</v>
      </c>
      <c r="F443" s="218"/>
      <c r="G443" s="75"/>
      <c r="H443" s="75"/>
      <c r="I443" s="75" t="s">
        <v>2523</v>
      </c>
      <c r="J443" s="76"/>
      <c r="K443" s="77" t="s">
        <v>1592</v>
      </c>
      <c r="L443" s="107" t="s">
        <v>25</v>
      </c>
      <c r="M443" s="132"/>
      <c r="N443" s="185"/>
      <c r="O443" s="119" t="s">
        <v>34</v>
      </c>
      <c r="P443" s="120">
        <v>46181</v>
      </c>
      <c r="Q443" s="175" t="s">
        <v>1573</v>
      </c>
      <c r="R443" s="133"/>
      <c r="S443" s="133"/>
      <c r="T443" s="106"/>
      <c r="U443" s="106"/>
      <c r="V443" s="106"/>
      <c r="W443" s="73" t="s">
        <v>2631</v>
      </c>
      <c r="X443" s="73">
        <v>1</v>
      </c>
      <c r="Y443" s="73">
        <v>10</v>
      </c>
      <c r="Z443" s="73"/>
      <c r="AA443" s="112"/>
      <c r="AB443" s="118"/>
      <c r="AC443" s="106" t="s">
        <v>470</v>
      </c>
      <c r="AD443" s="106" t="s">
        <v>476</v>
      </c>
      <c r="AE443" s="2"/>
      <c r="AF443" s="2"/>
    </row>
    <row r="444" spans="1:32" s="179" customFormat="1" outlineLevel="1">
      <c r="A444" s="80" t="s">
        <v>2517</v>
      </c>
      <c r="B444" s="73"/>
      <c r="C444" s="73"/>
      <c r="D444" s="216"/>
      <c r="E444" s="75" t="s">
        <v>2524</v>
      </c>
      <c r="F444" s="218"/>
      <c r="G444" s="75"/>
      <c r="H444" s="75"/>
      <c r="I444" s="176" t="s">
        <v>1710</v>
      </c>
      <c r="J444" s="76"/>
      <c r="K444" s="73"/>
      <c r="L444" s="113"/>
      <c r="M444" s="114"/>
      <c r="N444" s="113"/>
      <c r="O444" s="115"/>
      <c r="P444" s="115"/>
      <c r="Q444" s="116"/>
      <c r="R444" s="115"/>
      <c r="S444" s="115"/>
      <c r="T444" s="106"/>
      <c r="U444" s="106"/>
      <c r="V444" s="106"/>
      <c r="W444" s="73"/>
      <c r="X444" s="73"/>
      <c r="Y444" s="73"/>
      <c r="Z444" s="73"/>
      <c r="AA444" s="111"/>
      <c r="AB444" s="118"/>
      <c r="AC444" s="106"/>
      <c r="AD444" s="106"/>
      <c r="AE444" s="2"/>
      <c r="AF444" s="2"/>
    </row>
    <row r="445" spans="1:32" outlineLevel="1">
      <c r="A445" s="106">
        <v>444</v>
      </c>
      <c r="B445" s="73" t="s">
        <v>2525</v>
      </c>
      <c r="C445" s="73" t="s">
        <v>1883</v>
      </c>
      <c r="D445" s="216"/>
      <c r="E445" s="227" t="s">
        <v>2526</v>
      </c>
      <c r="F445" s="218"/>
      <c r="G445" s="75"/>
      <c r="H445" s="75" t="s">
        <v>2527</v>
      </c>
      <c r="I445" s="75"/>
      <c r="J445" s="76"/>
      <c r="K445" s="77" t="s">
        <v>1592</v>
      </c>
      <c r="L445" s="131"/>
      <c r="M445" s="132"/>
      <c r="N445" s="185"/>
      <c r="O445" s="133"/>
      <c r="P445" s="133"/>
      <c r="Q445" s="134"/>
      <c r="R445" s="133"/>
      <c r="S445" s="133"/>
      <c r="T445" s="106"/>
      <c r="U445" s="106"/>
      <c r="V445" s="106"/>
      <c r="W445" s="73" t="s">
        <v>2633</v>
      </c>
      <c r="X445" s="73">
        <v>1</v>
      </c>
      <c r="Y445" s="73">
        <v>1</v>
      </c>
      <c r="Z445" s="73"/>
      <c r="AA445" s="111" t="s">
        <v>477</v>
      </c>
      <c r="AB445" s="118"/>
      <c r="AC445" s="106" t="s">
        <v>470</v>
      </c>
      <c r="AD445" s="106"/>
      <c r="AE445" s="2"/>
      <c r="AF445" s="2"/>
    </row>
    <row r="446" spans="1:32" s="82" customFormat="1" outlineLevel="1">
      <c r="A446" s="137" t="s">
        <v>2528</v>
      </c>
      <c r="B446" s="136"/>
      <c r="C446" s="137"/>
      <c r="D446" s="223"/>
      <c r="E446" s="138"/>
      <c r="F446" s="224"/>
      <c r="G446" s="138"/>
      <c r="H446" s="138"/>
      <c r="I446" s="140" t="s">
        <v>126</v>
      </c>
      <c r="J446" s="140"/>
      <c r="K446" s="140"/>
      <c r="L446" s="141"/>
      <c r="M446" s="142"/>
      <c r="N446" s="186"/>
      <c r="O446" s="143"/>
      <c r="P446" s="143"/>
      <c r="Q446" s="144"/>
      <c r="R446" s="143"/>
      <c r="S446" s="143"/>
      <c r="T446" s="137"/>
      <c r="U446" s="137"/>
      <c r="V446" s="137"/>
      <c r="W446" s="137"/>
      <c r="X446" s="137"/>
      <c r="Y446" s="137"/>
      <c r="Z446" s="137"/>
      <c r="AA446" s="139" t="s">
        <v>478</v>
      </c>
      <c r="AB446" s="145"/>
      <c r="AC446" s="137" t="s">
        <v>470</v>
      </c>
      <c r="AD446" s="137" t="s">
        <v>479</v>
      </c>
      <c r="AE446" s="81"/>
      <c r="AF446" s="81"/>
    </row>
    <row r="447" spans="1:32" outlineLevel="1">
      <c r="A447" s="106">
        <v>446</v>
      </c>
      <c r="B447" s="73"/>
      <c r="C447" s="73"/>
      <c r="D447" s="216"/>
      <c r="E447" s="75"/>
      <c r="F447" s="218"/>
      <c r="G447" s="75"/>
      <c r="H447" s="75"/>
      <c r="I447" s="75"/>
      <c r="J447" s="76" t="s">
        <v>2516</v>
      </c>
      <c r="K447" s="73"/>
      <c r="L447" s="113"/>
      <c r="M447" s="114"/>
      <c r="N447" s="182"/>
      <c r="O447" s="115"/>
      <c r="P447" s="115"/>
      <c r="Q447" s="116"/>
      <c r="R447" s="115"/>
      <c r="S447" s="115"/>
      <c r="T447" s="106"/>
      <c r="U447" s="106"/>
      <c r="V447" s="106"/>
      <c r="W447" s="73"/>
      <c r="X447" s="73"/>
      <c r="Y447" s="73"/>
      <c r="Z447" s="73"/>
      <c r="AA447" s="112"/>
      <c r="AB447" s="118"/>
      <c r="AC447" s="106" t="s">
        <v>470</v>
      </c>
      <c r="AD447" s="106" t="s">
        <v>480</v>
      </c>
      <c r="AE447" s="2"/>
      <c r="AF447" s="2"/>
    </row>
    <row r="448" spans="1:32" outlineLevel="1">
      <c r="A448" s="106">
        <v>447</v>
      </c>
      <c r="B448" s="73" t="s">
        <v>2529</v>
      </c>
      <c r="C448" s="73"/>
      <c r="D448" s="216"/>
      <c r="E448" s="226" t="s">
        <v>2530</v>
      </c>
      <c r="F448" s="218"/>
      <c r="G448" s="75"/>
      <c r="H448" s="75"/>
      <c r="I448" s="75" t="s">
        <v>2523</v>
      </c>
      <c r="J448" s="76"/>
      <c r="K448" s="77" t="s">
        <v>1592</v>
      </c>
      <c r="L448" s="131"/>
      <c r="M448" s="132"/>
      <c r="N448" s="185"/>
      <c r="O448" s="133"/>
      <c r="P448" s="133"/>
      <c r="Q448" s="134"/>
      <c r="R448" s="133"/>
      <c r="S448" s="133"/>
      <c r="T448" s="106"/>
      <c r="U448" s="106"/>
      <c r="V448" s="106"/>
      <c r="W448" s="73" t="s">
        <v>2638</v>
      </c>
      <c r="X448" s="73"/>
      <c r="Y448" s="73">
        <v>1</v>
      </c>
      <c r="Z448" s="73">
        <v>1</v>
      </c>
      <c r="AA448" s="112"/>
      <c r="AB448" s="118"/>
      <c r="AC448" s="106" t="s">
        <v>470</v>
      </c>
      <c r="AD448" s="106" t="s">
        <v>481</v>
      </c>
      <c r="AE448" s="2"/>
      <c r="AF448" s="2"/>
    </row>
    <row r="449" spans="1:32" s="79" customFormat="1">
      <c r="A449" s="106">
        <v>448</v>
      </c>
      <c r="B449" s="73" t="s">
        <v>2531</v>
      </c>
      <c r="C449" s="74" t="s">
        <v>2532</v>
      </c>
      <c r="D449" s="216"/>
      <c r="E449" s="226" t="s">
        <v>2533</v>
      </c>
      <c r="F449" s="218"/>
      <c r="G449" s="75"/>
      <c r="H449" s="75"/>
      <c r="I449" s="75" t="s">
        <v>2534</v>
      </c>
      <c r="J449" s="76"/>
      <c r="K449" s="77" t="s">
        <v>1592</v>
      </c>
      <c r="L449" s="73"/>
      <c r="M449" s="73"/>
      <c r="N449" s="184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8"/>
      <c r="AC449" s="130"/>
      <c r="AD449" s="130"/>
    </row>
    <row r="450" spans="1:32" outlineLevel="1">
      <c r="A450" s="106">
        <v>449</v>
      </c>
      <c r="B450" s="73" t="s">
        <v>2535</v>
      </c>
      <c r="C450" s="73"/>
      <c r="D450" s="216"/>
      <c r="E450" s="226" t="s">
        <v>2536</v>
      </c>
      <c r="F450" s="218"/>
      <c r="G450" s="75" t="s">
        <v>2537</v>
      </c>
      <c r="H450" s="75"/>
      <c r="I450" s="75"/>
      <c r="J450" s="76" t="s">
        <v>2538</v>
      </c>
      <c r="K450" s="77" t="s">
        <v>1592</v>
      </c>
      <c r="L450" s="107"/>
      <c r="M450" s="108"/>
      <c r="N450" s="181">
        <v>46178</v>
      </c>
      <c r="O450" s="119" t="s">
        <v>34</v>
      </c>
      <c r="P450" s="120">
        <v>46181</v>
      </c>
      <c r="Q450" s="110" t="s">
        <v>1574</v>
      </c>
      <c r="R450" s="109"/>
      <c r="S450" s="109"/>
      <c r="T450" s="106"/>
      <c r="U450" s="106"/>
      <c r="V450" s="106"/>
      <c r="W450" s="73" t="s">
        <v>2631</v>
      </c>
      <c r="X450" s="73">
        <v>1</v>
      </c>
      <c r="Y450" s="73">
        <v>1</v>
      </c>
      <c r="Z450" s="73"/>
      <c r="AA450" s="111" t="s">
        <v>482</v>
      </c>
      <c r="AB450" s="118"/>
      <c r="AC450" s="106" t="s">
        <v>177</v>
      </c>
      <c r="AD450" s="106" t="s">
        <v>463</v>
      </c>
      <c r="AE450" s="2"/>
      <c r="AF450" s="2"/>
    </row>
    <row r="451" spans="1:32" outlineLevel="1">
      <c r="A451" s="106">
        <v>450</v>
      </c>
      <c r="B451" s="73"/>
      <c r="C451" s="73"/>
      <c r="D451" s="216"/>
      <c r="E451" s="75"/>
      <c r="F451" s="218"/>
      <c r="G451" s="75"/>
      <c r="H451" s="75" t="s">
        <v>1780</v>
      </c>
      <c r="I451" s="75"/>
      <c r="J451" s="76" t="s">
        <v>2539</v>
      </c>
      <c r="K451" s="73"/>
      <c r="L451" s="113"/>
      <c r="M451" s="114"/>
      <c r="N451" s="182"/>
      <c r="O451" s="115"/>
      <c r="P451" s="115"/>
      <c r="Q451" s="116"/>
      <c r="R451" s="115"/>
      <c r="S451" s="115"/>
      <c r="T451" s="106"/>
      <c r="U451" s="106"/>
      <c r="V451" s="106"/>
      <c r="W451" s="73"/>
      <c r="X451" s="73"/>
      <c r="Y451" s="73"/>
      <c r="Z451" s="73"/>
      <c r="AA451" s="111" t="s">
        <v>483</v>
      </c>
      <c r="AB451" s="118"/>
      <c r="AC451" s="106" t="s">
        <v>177</v>
      </c>
      <c r="AD451" s="106" t="s">
        <v>463</v>
      </c>
      <c r="AE451" s="2"/>
      <c r="AF451" s="2"/>
    </row>
    <row r="452" spans="1:32">
      <c r="A452" s="106">
        <v>451</v>
      </c>
      <c r="B452" s="83"/>
      <c r="C452" s="83"/>
      <c r="D452" s="220"/>
      <c r="E452" s="84"/>
      <c r="F452" s="221"/>
      <c r="G452" s="84"/>
      <c r="H452" s="84"/>
      <c r="I452" s="84"/>
      <c r="J452" s="84"/>
      <c r="K452" s="83"/>
      <c r="L452" s="154"/>
      <c r="M452" s="155"/>
      <c r="N452" s="187"/>
      <c r="O452" s="156"/>
      <c r="P452" s="156"/>
      <c r="Q452" s="157"/>
      <c r="R452" s="156"/>
      <c r="S452" s="156"/>
      <c r="T452" s="158"/>
      <c r="U452" s="158"/>
      <c r="V452" s="158"/>
      <c r="W452" s="83"/>
      <c r="X452" s="83"/>
      <c r="Y452" s="83"/>
      <c r="Z452" s="83"/>
      <c r="AA452" s="126"/>
      <c r="AB452" s="127"/>
      <c r="AC452" s="125"/>
      <c r="AD452" s="125"/>
      <c r="AE452" s="100"/>
      <c r="AF452" s="100"/>
    </row>
    <row r="453" spans="1:32" outlineLevel="1">
      <c r="A453" s="106">
        <v>452</v>
      </c>
      <c r="B453" s="73" t="s">
        <v>2540</v>
      </c>
      <c r="C453" s="94" t="s">
        <v>1603</v>
      </c>
      <c r="D453" s="216" t="s">
        <v>2541</v>
      </c>
      <c r="E453" s="237" t="s">
        <v>2542</v>
      </c>
      <c r="F453" s="218" t="s">
        <v>2541</v>
      </c>
      <c r="G453" s="75"/>
      <c r="H453" s="75"/>
      <c r="I453" s="75"/>
      <c r="J453" s="76"/>
      <c r="K453" s="77" t="s">
        <v>1592</v>
      </c>
      <c r="L453" s="107" t="s">
        <v>25</v>
      </c>
      <c r="M453" s="108"/>
      <c r="N453" s="181"/>
      <c r="O453" s="119" t="s">
        <v>34</v>
      </c>
      <c r="P453" s="120">
        <v>46181</v>
      </c>
      <c r="Q453" s="172" t="s">
        <v>1559</v>
      </c>
      <c r="R453" s="109"/>
      <c r="S453" s="109"/>
      <c r="T453" s="106"/>
      <c r="U453" s="106"/>
      <c r="V453" s="106"/>
      <c r="W453" s="73" t="s">
        <v>2629</v>
      </c>
      <c r="X453" s="73">
        <v>1</v>
      </c>
      <c r="Y453" s="73">
        <v>1</v>
      </c>
      <c r="Z453" s="73"/>
      <c r="AA453" s="111" t="s">
        <v>176</v>
      </c>
      <c r="AB453" s="118"/>
      <c r="AC453" s="106"/>
      <c r="AD453" s="106"/>
      <c r="AE453" s="2"/>
      <c r="AF453" s="2"/>
    </row>
    <row r="454" spans="1:32" outlineLevel="1">
      <c r="A454" s="106">
        <v>453</v>
      </c>
      <c r="B454" s="73" t="s">
        <v>2543</v>
      </c>
      <c r="C454" s="73"/>
      <c r="D454" s="216"/>
      <c r="E454" s="237" t="s">
        <v>2544</v>
      </c>
      <c r="F454" s="218"/>
      <c r="G454" s="75" t="s">
        <v>2545</v>
      </c>
      <c r="H454" s="75"/>
      <c r="I454" s="75"/>
      <c r="J454" s="76"/>
      <c r="K454" s="77" t="s">
        <v>1592</v>
      </c>
      <c r="L454" s="107" t="s">
        <v>25</v>
      </c>
      <c r="M454" s="108"/>
      <c r="N454" s="181">
        <v>46178</v>
      </c>
      <c r="O454" s="109" t="s">
        <v>24</v>
      </c>
      <c r="P454" s="109"/>
      <c r="Q454" s="110"/>
      <c r="R454" s="109"/>
      <c r="S454" s="109"/>
      <c r="T454" s="106"/>
      <c r="U454" s="106"/>
      <c r="V454" s="106"/>
      <c r="W454" s="73" t="s">
        <v>2629</v>
      </c>
      <c r="X454" s="73">
        <v>1</v>
      </c>
      <c r="Y454" s="73">
        <v>1</v>
      </c>
      <c r="Z454" s="73"/>
      <c r="AA454" s="111" t="s">
        <v>484</v>
      </c>
      <c r="AB454" s="111" t="s">
        <v>485</v>
      </c>
      <c r="AC454" s="106" t="s">
        <v>486</v>
      </c>
      <c r="AD454" s="106" t="s">
        <v>487</v>
      </c>
      <c r="AE454" s="2"/>
      <c r="AF454" s="2"/>
    </row>
    <row r="455" spans="1:32" outlineLevel="1">
      <c r="A455" s="106">
        <v>454</v>
      </c>
      <c r="B455" s="73" t="s">
        <v>2546</v>
      </c>
      <c r="C455" s="73"/>
      <c r="D455" s="216"/>
      <c r="E455" s="237" t="s">
        <v>2547</v>
      </c>
      <c r="F455" s="218"/>
      <c r="G455" s="75"/>
      <c r="H455" s="75" t="s">
        <v>2548</v>
      </c>
      <c r="I455" s="75"/>
      <c r="J455" s="76"/>
      <c r="K455" s="77" t="s">
        <v>1592</v>
      </c>
      <c r="L455" s="107" t="s">
        <v>25</v>
      </c>
      <c r="M455" s="108"/>
      <c r="N455" s="181" t="s">
        <v>39</v>
      </c>
      <c r="O455" s="109" t="s">
        <v>24</v>
      </c>
      <c r="P455" s="109"/>
      <c r="Q455" s="110"/>
      <c r="R455" s="109"/>
      <c r="S455" s="109"/>
      <c r="T455" s="106"/>
      <c r="U455" s="106"/>
      <c r="V455" s="106"/>
      <c r="W455" s="73" t="s">
        <v>2636</v>
      </c>
      <c r="X455" s="73"/>
      <c r="Y455" s="73">
        <v>1</v>
      </c>
      <c r="Z455" s="73">
        <v>1</v>
      </c>
      <c r="AA455" s="111" t="s">
        <v>488</v>
      </c>
      <c r="AB455" s="111" t="s">
        <v>485</v>
      </c>
      <c r="AC455" s="106" t="s">
        <v>486</v>
      </c>
      <c r="AD455" s="106" t="s">
        <v>487</v>
      </c>
      <c r="AE455" s="2"/>
      <c r="AF455" s="2"/>
    </row>
    <row r="456" spans="1:32" outlineLevel="1">
      <c r="A456" s="106">
        <v>455</v>
      </c>
      <c r="B456" s="73" t="s">
        <v>2549</v>
      </c>
      <c r="C456" s="73"/>
      <c r="D456" s="216"/>
      <c r="E456" s="237" t="s">
        <v>2550</v>
      </c>
      <c r="F456" s="218"/>
      <c r="G456" s="75" t="s">
        <v>2551</v>
      </c>
      <c r="H456" s="75"/>
      <c r="I456" s="75"/>
      <c r="J456" s="76" t="s">
        <v>489</v>
      </c>
      <c r="K456" s="77" t="s">
        <v>1592</v>
      </c>
      <c r="L456" s="107" t="s">
        <v>25</v>
      </c>
      <c r="M456" s="108"/>
      <c r="N456" s="181"/>
      <c r="O456" s="119" t="s">
        <v>34</v>
      </c>
      <c r="P456" s="120">
        <v>46181</v>
      </c>
      <c r="Q456" s="172" t="s">
        <v>1559</v>
      </c>
      <c r="R456" s="109"/>
      <c r="S456" s="109"/>
      <c r="T456" s="106"/>
      <c r="U456" s="106"/>
      <c r="V456" s="106"/>
      <c r="W456" s="73" t="s">
        <v>2629</v>
      </c>
      <c r="X456" s="73">
        <v>1</v>
      </c>
      <c r="Y456" s="73">
        <v>1</v>
      </c>
      <c r="Z456" s="73"/>
      <c r="AA456" s="111" t="s">
        <v>490</v>
      </c>
      <c r="AB456" s="111" t="s">
        <v>485</v>
      </c>
      <c r="AC456" s="106" t="s">
        <v>486</v>
      </c>
      <c r="AD456" s="106" t="s">
        <v>487</v>
      </c>
      <c r="AE456" s="2"/>
      <c r="AF456" s="2"/>
    </row>
    <row r="457" spans="1:32" outlineLevel="1">
      <c r="A457" s="106">
        <v>456</v>
      </c>
      <c r="B457" s="73" t="s">
        <v>2552</v>
      </c>
      <c r="C457" s="73"/>
      <c r="D457" s="216"/>
      <c r="E457" s="237" t="s">
        <v>2553</v>
      </c>
      <c r="F457" s="218"/>
      <c r="G457" s="75" t="s">
        <v>2554</v>
      </c>
      <c r="H457" s="75"/>
      <c r="I457" s="75"/>
      <c r="J457" s="76"/>
      <c r="K457" s="77" t="s">
        <v>1592</v>
      </c>
      <c r="L457" s="107" t="s">
        <v>25</v>
      </c>
      <c r="M457" s="108"/>
      <c r="N457" s="181"/>
      <c r="O457" s="119" t="s">
        <v>34</v>
      </c>
      <c r="P457" s="120">
        <v>46181</v>
      </c>
      <c r="Q457" s="172" t="s">
        <v>1559</v>
      </c>
      <c r="R457" s="109"/>
      <c r="S457" s="109"/>
      <c r="T457" s="106"/>
      <c r="U457" s="106"/>
      <c r="V457" s="106"/>
      <c r="W457" s="73" t="s">
        <v>2631</v>
      </c>
      <c r="X457" s="73">
        <v>1</v>
      </c>
      <c r="Y457" s="73">
        <v>1</v>
      </c>
      <c r="Z457" s="73"/>
      <c r="AA457" s="111" t="s">
        <v>491</v>
      </c>
      <c r="AB457" s="111" t="s">
        <v>485</v>
      </c>
      <c r="AC457" s="106" t="s">
        <v>486</v>
      </c>
      <c r="AD457" s="106" t="s">
        <v>487</v>
      </c>
      <c r="AE457" s="2"/>
      <c r="AF457" s="2"/>
    </row>
    <row r="458" spans="1:32" outlineLevel="1">
      <c r="A458" s="106">
        <v>457</v>
      </c>
      <c r="B458" s="73" t="s">
        <v>2555</v>
      </c>
      <c r="C458" s="73"/>
      <c r="D458" s="216"/>
      <c r="E458" s="237" t="s">
        <v>2556</v>
      </c>
      <c r="F458" s="218"/>
      <c r="G458" s="75"/>
      <c r="H458" s="75" t="s">
        <v>2557</v>
      </c>
      <c r="I458" s="75"/>
      <c r="J458" s="76"/>
      <c r="K458" s="77" t="s">
        <v>1592</v>
      </c>
      <c r="L458" s="107"/>
      <c r="M458" s="108"/>
      <c r="N458" s="181"/>
      <c r="O458" s="119" t="s">
        <v>34</v>
      </c>
      <c r="P458" s="120">
        <v>46181</v>
      </c>
      <c r="Q458" s="172" t="s">
        <v>1559</v>
      </c>
      <c r="R458" s="109"/>
      <c r="S458" s="109"/>
      <c r="T458" s="106"/>
      <c r="U458" s="106"/>
      <c r="V458" s="106"/>
      <c r="W458" s="73" t="s">
        <v>2630</v>
      </c>
      <c r="X458" s="73"/>
      <c r="Y458" s="73">
        <v>1</v>
      </c>
      <c r="Z458" s="73">
        <v>1</v>
      </c>
      <c r="AA458" s="111" t="s">
        <v>492</v>
      </c>
      <c r="AB458" s="112"/>
      <c r="AC458" s="106"/>
      <c r="AD458" s="106"/>
      <c r="AE458" s="2"/>
      <c r="AF458" s="2"/>
    </row>
    <row r="459" spans="1:32" outlineLevel="1">
      <c r="A459" s="106">
        <v>458</v>
      </c>
      <c r="B459" s="73" t="s">
        <v>2558</v>
      </c>
      <c r="C459" s="73"/>
      <c r="D459" s="216"/>
      <c r="E459" s="237" t="s">
        <v>2556</v>
      </c>
      <c r="F459" s="218"/>
      <c r="G459" s="75"/>
      <c r="H459" s="75" t="s">
        <v>2559</v>
      </c>
      <c r="I459" s="75"/>
      <c r="J459" s="76"/>
      <c r="K459" s="77" t="s">
        <v>1592</v>
      </c>
      <c r="L459" s="107"/>
      <c r="M459" s="108"/>
      <c r="N459" s="181"/>
      <c r="O459" s="119" t="s">
        <v>34</v>
      </c>
      <c r="P459" s="120">
        <v>46181</v>
      </c>
      <c r="Q459" s="172" t="s">
        <v>1559</v>
      </c>
      <c r="R459" s="109"/>
      <c r="S459" s="109"/>
      <c r="T459" s="106"/>
      <c r="U459" s="106"/>
      <c r="V459" s="106"/>
      <c r="W459" s="73" t="s">
        <v>2630</v>
      </c>
      <c r="X459" s="73"/>
      <c r="Y459" s="73">
        <v>1</v>
      </c>
      <c r="Z459" s="73">
        <v>1</v>
      </c>
      <c r="AA459" s="111" t="s">
        <v>493</v>
      </c>
      <c r="AB459" s="118"/>
      <c r="AC459" s="106"/>
      <c r="AD459" s="106"/>
      <c r="AE459" s="2"/>
      <c r="AF459" s="2"/>
    </row>
    <row r="460" spans="1:32" outlineLevel="1">
      <c r="A460" s="106">
        <v>459</v>
      </c>
      <c r="B460" s="73"/>
      <c r="C460" s="73" t="s">
        <v>1620</v>
      </c>
      <c r="D460" s="216"/>
      <c r="E460" s="75"/>
      <c r="F460" s="218"/>
      <c r="G460" s="75" t="s">
        <v>1683</v>
      </c>
      <c r="H460" s="75" t="s">
        <v>2560</v>
      </c>
      <c r="I460" s="75"/>
      <c r="J460" s="76"/>
      <c r="K460" s="73"/>
      <c r="L460" s="113"/>
      <c r="M460" s="114"/>
      <c r="N460" s="182"/>
      <c r="O460" s="115"/>
      <c r="P460" s="115"/>
      <c r="Q460" s="116"/>
      <c r="R460" s="115"/>
      <c r="S460" s="115"/>
      <c r="T460" s="106"/>
      <c r="U460" s="106"/>
      <c r="V460" s="106"/>
      <c r="W460" s="73"/>
      <c r="X460" s="73"/>
      <c r="Y460" s="73"/>
      <c r="Z460" s="73"/>
      <c r="AA460" s="111" t="s">
        <v>494</v>
      </c>
      <c r="AB460" s="118"/>
      <c r="AC460" s="106"/>
      <c r="AD460" s="106"/>
      <c r="AE460" s="2"/>
      <c r="AF460" s="2"/>
    </row>
    <row r="461" spans="1:32" s="101" customFormat="1">
      <c r="A461" s="106">
        <v>460</v>
      </c>
      <c r="B461" s="83"/>
      <c r="C461" s="83"/>
      <c r="D461" s="220"/>
      <c r="E461" s="84"/>
      <c r="F461" s="221"/>
      <c r="G461" s="84"/>
      <c r="H461" s="84"/>
      <c r="I461" s="84"/>
      <c r="J461" s="84"/>
      <c r="K461" s="83"/>
      <c r="L461" s="121"/>
      <c r="M461" s="122"/>
      <c r="N461" s="183"/>
      <c r="O461" s="123"/>
      <c r="P461" s="123"/>
      <c r="Q461" s="124"/>
      <c r="R461" s="123"/>
      <c r="S461" s="123"/>
      <c r="T461" s="125"/>
      <c r="U461" s="125"/>
      <c r="V461" s="125"/>
      <c r="W461" s="83"/>
      <c r="X461" s="83"/>
      <c r="Y461" s="83"/>
      <c r="Z461" s="83"/>
      <c r="AA461" s="126"/>
      <c r="AB461" s="127"/>
      <c r="AC461" s="125"/>
      <c r="AD461" s="125"/>
      <c r="AE461" s="100"/>
      <c r="AF461" s="100"/>
    </row>
    <row r="462" spans="1:32" outlineLevel="1">
      <c r="A462" s="106">
        <v>461</v>
      </c>
      <c r="B462" s="73"/>
      <c r="C462" s="94" t="s">
        <v>1603</v>
      </c>
      <c r="D462" s="219" t="s">
        <v>2561</v>
      </c>
      <c r="E462" s="75"/>
      <c r="F462" s="222" t="s">
        <v>2561</v>
      </c>
      <c r="G462" s="75"/>
      <c r="H462" s="75"/>
      <c r="I462" s="75"/>
      <c r="J462" s="76"/>
      <c r="K462" s="73"/>
      <c r="L462" s="113"/>
      <c r="M462" s="114"/>
      <c r="N462" s="182"/>
      <c r="O462" s="115"/>
      <c r="P462" s="115"/>
      <c r="Q462" s="116"/>
      <c r="R462" s="115"/>
      <c r="S462" s="115"/>
      <c r="T462" s="106"/>
      <c r="U462" s="106"/>
      <c r="V462" s="106"/>
      <c r="W462" s="73"/>
      <c r="X462" s="73"/>
      <c r="Y462" s="73"/>
      <c r="Z462" s="73"/>
      <c r="AA462" s="111" t="s">
        <v>495</v>
      </c>
      <c r="AB462" s="111" t="s">
        <v>496</v>
      </c>
      <c r="AC462" s="106"/>
      <c r="AD462" s="106"/>
      <c r="AE462" s="2"/>
      <c r="AF462" s="2"/>
    </row>
    <row r="463" spans="1:32" outlineLevel="1">
      <c r="A463" s="106">
        <v>462</v>
      </c>
      <c r="B463" s="73" t="s">
        <v>2562</v>
      </c>
      <c r="C463" s="73"/>
      <c r="D463" s="216"/>
      <c r="E463" s="237" t="s">
        <v>2563</v>
      </c>
      <c r="F463" s="218"/>
      <c r="G463" s="75" t="s">
        <v>2564</v>
      </c>
      <c r="H463" s="75"/>
      <c r="I463" s="75"/>
      <c r="J463" s="76"/>
      <c r="K463" s="77" t="s">
        <v>1592</v>
      </c>
      <c r="L463" s="107" t="s">
        <v>25</v>
      </c>
      <c r="M463" s="132"/>
      <c r="N463" s="181" t="s">
        <v>39</v>
      </c>
      <c r="O463" s="109" t="s">
        <v>24</v>
      </c>
      <c r="P463" s="133"/>
      <c r="Q463" s="134"/>
      <c r="R463" s="133"/>
      <c r="S463" s="133"/>
      <c r="T463" s="106"/>
      <c r="U463" s="106"/>
      <c r="V463" s="106"/>
      <c r="W463" s="73" t="s">
        <v>2631</v>
      </c>
      <c r="X463" s="73">
        <v>1</v>
      </c>
      <c r="Y463" s="73">
        <v>1</v>
      </c>
      <c r="Z463" s="73"/>
      <c r="AA463" s="111" t="s">
        <v>497</v>
      </c>
      <c r="AB463" s="118"/>
      <c r="AC463" s="106"/>
      <c r="AD463" s="106"/>
      <c r="AE463" s="2"/>
      <c r="AF463" s="2"/>
    </row>
    <row r="464" spans="1:32" outlineLevel="1">
      <c r="A464" s="106">
        <v>463</v>
      </c>
      <c r="B464" s="73" t="s">
        <v>498</v>
      </c>
      <c r="C464" s="73"/>
      <c r="D464" s="216"/>
      <c r="E464" s="237" t="s">
        <v>2565</v>
      </c>
      <c r="F464" s="218"/>
      <c r="G464" s="75" t="s">
        <v>2566</v>
      </c>
      <c r="H464" s="75"/>
      <c r="I464" s="75"/>
      <c r="J464" s="76"/>
      <c r="K464" s="77" t="s">
        <v>1592</v>
      </c>
      <c r="L464" s="107" t="s">
        <v>25</v>
      </c>
      <c r="M464" s="132"/>
      <c r="N464" s="181" t="s">
        <v>39</v>
      </c>
      <c r="O464" s="109" t="s">
        <v>24</v>
      </c>
      <c r="P464" s="133"/>
      <c r="Q464" s="134"/>
      <c r="R464" s="133"/>
      <c r="S464" s="133"/>
      <c r="T464" s="106"/>
      <c r="U464" s="106"/>
      <c r="V464" s="106"/>
      <c r="W464" s="73" t="s">
        <v>2631</v>
      </c>
      <c r="X464" s="73">
        <v>1</v>
      </c>
      <c r="Y464" s="73">
        <v>1</v>
      </c>
      <c r="Z464" s="73"/>
      <c r="AA464" s="111" t="s">
        <v>499</v>
      </c>
      <c r="AB464" s="118"/>
      <c r="AC464" s="106"/>
      <c r="AD464" s="106"/>
      <c r="AE464" s="2"/>
      <c r="AF464" s="2"/>
    </row>
    <row r="465" spans="1:32" outlineLevel="1">
      <c r="A465" s="106">
        <v>464</v>
      </c>
      <c r="B465" s="73" t="s">
        <v>500</v>
      </c>
      <c r="C465" s="73"/>
      <c r="D465" s="216"/>
      <c r="E465" s="237" t="s">
        <v>2567</v>
      </c>
      <c r="F465" s="218"/>
      <c r="G465" s="75" t="s">
        <v>2568</v>
      </c>
      <c r="H465" s="75"/>
      <c r="I465" s="75"/>
      <c r="J465" s="76"/>
      <c r="K465" s="77" t="s">
        <v>1592</v>
      </c>
      <c r="L465" s="107" t="s">
        <v>25</v>
      </c>
      <c r="M465" s="132"/>
      <c r="N465" s="181" t="s">
        <v>39</v>
      </c>
      <c r="O465" s="109" t="s">
        <v>24</v>
      </c>
      <c r="P465" s="133"/>
      <c r="Q465" s="134"/>
      <c r="R465" s="133"/>
      <c r="S465" s="133"/>
      <c r="T465" s="106"/>
      <c r="U465" s="106"/>
      <c r="V465" s="106"/>
      <c r="W465" s="73" t="s">
        <v>2633</v>
      </c>
      <c r="X465" s="73">
        <v>1</v>
      </c>
      <c r="Y465" s="73">
        <v>1</v>
      </c>
      <c r="Z465" s="73"/>
      <c r="AA465" s="111" t="s">
        <v>501</v>
      </c>
      <c r="AB465" s="118"/>
      <c r="AC465" s="106"/>
      <c r="AD465" s="106"/>
      <c r="AE465" s="2"/>
      <c r="AF465" s="2"/>
    </row>
    <row r="466" spans="1:32" outlineLevel="1">
      <c r="A466" s="106">
        <v>465</v>
      </c>
      <c r="B466" s="73" t="s">
        <v>502</v>
      </c>
      <c r="C466" s="73"/>
      <c r="D466" s="216"/>
      <c r="E466" s="237" t="s">
        <v>2569</v>
      </c>
      <c r="F466" s="218"/>
      <c r="G466" s="176" t="s">
        <v>2570</v>
      </c>
      <c r="H466" s="75"/>
      <c r="I466" s="75"/>
      <c r="J466" s="76"/>
      <c r="K466" s="74" t="s">
        <v>2571</v>
      </c>
      <c r="L466" s="107" t="s">
        <v>25</v>
      </c>
      <c r="M466" s="132"/>
      <c r="N466" s="181"/>
      <c r="O466" s="119" t="s">
        <v>34</v>
      </c>
      <c r="P466" s="120">
        <v>46181</v>
      </c>
      <c r="Q466" s="178" t="s">
        <v>1559</v>
      </c>
      <c r="R466" s="133"/>
      <c r="S466" s="133"/>
      <c r="T466" s="106"/>
      <c r="U466" s="106"/>
      <c r="V466" s="106"/>
      <c r="W466" s="73" t="s">
        <v>2629</v>
      </c>
      <c r="X466" s="73">
        <v>1</v>
      </c>
      <c r="Y466" s="73">
        <v>1</v>
      </c>
      <c r="Z466" s="73"/>
      <c r="AA466" s="111" t="s">
        <v>503</v>
      </c>
      <c r="AB466" s="118"/>
      <c r="AC466" s="106"/>
      <c r="AD466" s="106"/>
      <c r="AE466" s="2"/>
      <c r="AF466" s="2"/>
    </row>
    <row r="467" spans="1:32" outlineLevel="1">
      <c r="A467" s="106">
        <v>466</v>
      </c>
      <c r="B467" s="73" t="s">
        <v>504</v>
      </c>
      <c r="C467" s="73"/>
      <c r="D467" s="216"/>
      <c r="E467" s="237" t="s">
        <v>2572</v>
      </c>
      <c r="F467" s="218"/>
      <c r="G467" s="75" t="s">
        <v>2573</v>
      </c>
      <c r="H467" s="75"/>
      <c r="I467" s="75"/>
      <c r="J467" s="76"/>
      <c r="K467" s="77" t="s">
        <v>1592</v>
      </c>
      <c r="L467" s="107" t="s">
        <v>25</v>
      </c>
      <c r="M467" s="132"/>
      <c r="N467" s="181" t="s">
        <v>39</v>
      </c>
      <c r="O467" s="109" t="s">
        <v>24</v>
      </c>
      <c r="P467" s="133"/>
      <c r="Q467" s="134"/>
      <c r="R467" s="133"/>
      <c r="S467" s="133"/>
      <c r="T467" s="106"/>
      <c r="U467" s="106"/>
      <c r="V467" s="106"/>
      <c r="W467" s="73" t="s">
        <v>2631</v>
      </c>
      <c r="X467" s="73">
        <v>1</v>
      </c>
      <c r="Y467" s="73">
        <v>1</v>
      </c>
      <c r="Z467" s="73"/>
      <c r="AA467" s="111" t="s">
        <v>505</v>
      </c>
      <c r="AB467" s="118"/>
      <c r="AC467" s="106"/>
      <c r="AD467" s="106"/>
      <c r="AE467" s="2"/>
      <c r="AF467" s="2"/>
    </row>
    <row r="468" spans="1:32" outlineLevel="1">
      <c r="A468" s="106">
        <v>467</v>
      </c>
      <c r="B468" s="73" t="s">
        <v>506</v>
      </c>
      <c r="C468" s="73"/>
      <c r="D468" s="216"/>
      <c r="E468" s="237" t="s">
        <v>2574</v>
      </c>
      <c r="F468" s="218"/>
      <c r="G468" s="75" t="s">
        <v>2575</v>
      </c>
      <c r="H468" s="75"/>
      <c r="I468" s="75"/>
      <c r="J468" s="76"/>
      <c r="K468" s="77" t="s">
        <v>1592</v>
      </c>
      <c r="L468" s="107" t="s">
        <v>25</v>
      </c>
      <c r="M468" s="132"/>
      <c r="N468" s="181" t="s">
        <v>39</v>
      </c>
      <c r="O468" s="109" t="s">
        <v>24</v>
      </c>
      <c r="P468" s="133"/>
      <c r="Q468" s="134"/>
      <c r="R468" s="133"/>
      <c r="S468" s="133"/>
      <c r="T468" s="106"/>
      <c r="U468" s="106"/>
      <c r="V468" s="106"/>
      <c r="W468" s="73" t="s">
        <v>2629</v>
      </c>
      <c r="X468" s="73">
        <v>1</v>
      </c>
      <c r="Y468" s="73">
        <v>1</v>
      </c>
      <c r="Z468" s="73"/>
      <c r="AA468" s="111" t="s">
        <v>507</v>
      </c>
      <c r="AB468" s="118"/>
      <c r="AC468" s="106"/>
      <c r="AD468" s="106"/>
      <c r="AE468" s="2"/>
      <c r="AF468" s="2"/>
    </row>
    <row r="469" spans="1:32" s="101" customFormat="1">
      <c r="A469" s="106">
        <v>468</v>
      </c>
      <c r="B469" s="83"/>
      <c r="C469" s="83"/>
      <c r="D469" s="220"/>
      <c r="E469" s="84"/>
      <c r="F469" s="221"/>
      <c r="G469" s="84"/>
      <c r="H469" s="84"/>
      <c r="I469" s="84"/>
      <c r="J469" s="84"/>
      <c r="K469" s="83"/>
      <c r="L469" s="121"/>
      <c r="M469" s="122"/>
      <c r="N469" s="183"/>
      <c r="O469" s="123"/>
      <c r="P469" s="123"/>
      <c r="Q469" s="124"/>
      <c r="R469" s="123"/>
      <c r="S469" s="123"/>
      <c r="T469" s="125"/>
      <c r="U469" s="125"/>
      <c r="V469" s="125"/>
      <c r="W469" s="83"/>
      <c r="X469" s="83"/>
      <c r="Y469" s="83"/>
      <c r="Z469" s="83"/>
      <c r="AA469" s="126"/>
      <c r="AB469" s="127"/>
      <c r="AC469" s="125"/>
      <c r="AD469" s="125"/>
      <c r="AE469" s="100"/>
      <c r="AF469" s="100"/>
    </row>
    <row r="470" spans="1:32" outlineLevel="1">
      <c r="A470" s="106">
        <v>469</v>
      </c>
      <c r="B470" s="73"/>
      <c r="C470" s="94" t="s">
        <v>1603</v>
      </c>
      <c r="D470" s="216" t="s">
        <v>2576</v>
      </c>
      <c r="E470" s="75"/>
      <c r="F470" s="218" t="s">
        <v>2576</v>
      </c>
      <c r="G470" s="75"/>
      <c r="H470" s="75"/>
      <c r="I470" s="75"/>
      <c r="J470" s="76"/>
      <c r="K470" s="73"/>
      <c r="L470" s="113"/>
      <c r="M470" s="114"/>
      <c r="N470" s="182"/>
      <c r="O470" s="115"/>
      <c r="P470" s="115"/>
      <c r="Q470" s="116"/>
      <c r="R470" s="115"/>
      <c r="S470" s="115"/>
      <c r="T470" s="106"/>
      <c r="U470" s="106"/>
      <c r="V470" s="106"/>
      <c r="W470" s="73"/>
      <c r="X470" s="73"/>
      <c r="Y470" s="73"/>
      <c r="Z470" s="73"/>
      <c r="AA470" s="111" t="s">
        <v>495</v>
      </c>
      <c r="AB470" s="111" t="s">
        <v>496</v>
      </c>
      <c r="AC470" s="106"/>
      <c r="AD470" s="106"/>
      <c r="AE470" s="2"/>
      <c r="AF470" s="2"/>
    </row>
    <row r="471" spans="1:32" outlineLevel="1">
      <c r="A471" s="106">
        <v>470</v>
      </c>
      <c r="B471" s="73" t="s">
        <v>2577</v>
      </c>
      <c r="C471" s="73"/>
      <c r="D471" s="216"/>
      <c r="E471" s="238" t="s">
        <v>2578</v>
      </c>
      <c r="F471" s="218"/>
      <c r="G471" s="75" t="s">
        <v>2579</v>
      </c>
      <c r="H471" s="75" t="s">
        <v>508</v>
      </c>
      <c r="I471" s="75"/>
      <c r="J471" s="76"/>
      <c r="K471" s="77" t="s">
        <v>1592</v>
      </c>
      <c r="L471" s="107" t="s">
        <v>25</v>
      </c>
      <c r="M471" s="132"/>
      <c r="N471" s="181" t="s">
        <v>39</v>
      </c>
      <c r="O471" s="109" t="s">
        <v>24</v>
      </c>
      <c r="P471" s="133"/>
      <c r="Q471" s="134"/>
      <c r="R471" s="133"/>
      <c r="S471" s="133"/>
      <c r="T471" s="106"/>
      <c r="U471" s="106"/>
      <c r="V471" s="106"/>
      <c r="W471" s="73" t="s">
        <v>2629</v>
      </c>
      <c r="X471" s="73">
        <v>1</v>
      </c>
      <c r="Y471" s="73">
        <v>1</v>
      </c>
      <c r="Z471" s="73"/>
      <c r="AA471" s="111" t="s">
        <v>509</v>
      </c>
      <c r="AB471" s="118"/>
      <c r="AC471" s="106"/>
      <c r="AD471" s="106"/>
      <c r="AE471" s="2"/>
      <c r="AF471" s="2"/>
    </row>
    <row r="472" spans="1:32" outlineLevel="1">
      <c r="A472" s="106">
        <v>471</v>
      </c>
      <c r="B472" s="73" t="s">
        <v>510</v>
      </c>
      <c r="C472" s="73"/>
      <c r="D472" s="216"/>
      <c r="E472" s="238" t="s">
        <v>2580</v>
      </c>
      <c r="F472" s="218"/>
      <c r="G472" s="75"/>
      <c r="H472" s="75" t="s">
        <v>2581</v>
      </c>
      <c r="I472" s="75"/>
      <c r="J472" s="76"/>
      <c r="K472" s="77" t="s">
        <v>1592</v>
      </c>
      <c r="L472" s="107" t="s">
        <v>25</v>
      </c>
      <c r="M472" s="132"/>
      <c r="N472" s="181" t="s">
        <v>39</v>
      </c>
      <c r="O472" s="109" t="s">
        <v>24</v>
      </c>
      <c r="P472" s="133"/>
      <c r="Q472" s="134"/>
      <c r="R472" s="133"/>
      <c r="S472" s="133"/>
      <c r="T472" s="106"/>
      <c r="U472" s="106"/>
      <c r="V472" s="106"/>
      <c r="W472" s="73" t="s">
        <v>2631</v>
      </c>
      <c r="X472" s="73">
        <v>1</v>
      </c>
      <c r="Y472" s="73">
        <v>1</v>
      </c>
      <c r="Z472" s="73"/>
      <c r="AA472" s="111" t="s">
        <v>509</v>
      </c>
      <c r="AB472" s="118"/>
      <c r="AC472" s="106"/>
      <c r="AD472" s="106"/>
      <c r="AE472" s="2"/>
      <c r="AF472" s="2"/>
    </row>
    <row r="473" spans="1:32" outlineLevel="1">
      <c r="A473" s="106">
        <v>472</v>
      </c>
      <c r="B473" s="73" t="s">
        <v>511</v>
      </c>
      <c r="C473" s="73"/>
      <c r="D473" s="216"/>
      <c r="E473" s="238" t="s">
        <v>2582</v>
      </c>
      <c r="F473" s="218"/>
      <c r="G473" s="75" t="s">
        <v>2583</v>
      </c>
      <c r="H473" s="75" t="s">
        <v>512</v>
      </c>
      <c r="I473" s="75"/>
      <c r="J473" s="76"/>
      <c r="K473" s="77" t="s">
        <v>1592</v>
      </c>
      <c r="L473" s="107" t="s">
        <v>25</v>
      </c>
      <c r="M473" s="132"/>
      <c r="N473" s="181" t="s">
        <v>39</v>
      </c>
      <c r="O473" s="109" t="s">
        <v>24</v>
      </c>
      <c r="P473" s="133"/>
      <c r="Q473" s="134"/>
      <c r="R473" s="133"/>
      <c r="S473" s="133"/>
      <c r="T473" s="106"/>
      <c r="U473" s="106"/>
      <c r="V473" s="106"/>
      <c r="W473" s="73" t="s">
        <v>2631</v>
      </c>
      <c r="X473" s="73">
        <v>1</v>
      </c>
      <c r="Y473" s="73">
        <v>1</v>
      </c>
      <c r="Z473" s="73"/>
      <c r="AA473" s="111" t="s">
        <v>509</v>
      </c>
      <c r="AB473" s="118"/>
      <c r="AC473" s="106"/>
      <c r="AD473" s="106"/>
      <c r="AE473" s="2"/>
      <c r="AF473" s="2"/>
    </row>
    <row r="474" spans="1:32" outlineLevel="1">
      <c r="A474" s="106">
        <v>473</v>
      </c>
      <c r="B474" s="73" t="s">
        <v>513</v>
      </c>
      <c r="C474" s="73"/>
      <c r="D474" s="216"/>
      <c r="E474" s="238" t="s">
        <v>2584</v>
      </c>
      <c r="F474" s="218"/>
      <c r="G474" s="75"/>
      <c r="H474" s="75" t="s">
        <v>514</v>
      </c>
      <c r="I474" s="75"/>
      <c r="J474" s="76"/>
      <c r="K474" s="77" t="s">
        <v>1592</v>
      </c>
      <c r="L474" s="107" t="s">
        <v>25</v>
      </c>
      <c r="M474" s="132"/>
      <c r="N474" s="181" t="s">
        <v>39</v>
      </c>
      <c r="O474" s="109" t="s">
        <v>24</v>
      </c>
      <c r="P474" s="133"/>
      <c r="Q474" s="134"/>
      <c r="R474" s="133"/>
      <c r="S474" s="133"/>
      <c r="T474" s="106"/>
      <c r="U474" s="106"/>
      <c r="V474" s="106"/>
      <c r="W474" s="73" t="s">
        <v>2629</v>
      </c>
      <c r="X474" s="73">
        <v>1</v>
      </c>
      <c r="Y474" s="73">
        <v>1</v>
      </c>
      <c r="Z474" s="73"/>
      <c r="AA474" s="111" t="s">
        <v>509</v>
      </c>
      <c r="AB474" s="118"/>
      <c r="AC474" s="106"/>
      <c r="AD474" s="106"/>
      <c r="AE474" s="2"/>
      <c r="AF474" s="2"/>
    </row>
    <row r="475" spans="1:32" outlineLevel="1">
      <c r="A475" s="106">
        <v>474</v>
      </c>
      <c r="B475" s="73" t="s">
        <v>515</v>
      </c>
      <c r="C475" s="73"/>
      <c r="D475" s="216"/>
      <c r="E475" s="238" t="s">
        <v>2585</v>
      </c>
      <c r="F475" s="218"/>
      <c r="G475" s="75"/>
      <c r="H475" s="75" t="s">
        <v>516</v>
      </c>
      <c r="I475" s="75"/>
      <c r="J475" s="76"/>
      <c r="K475" s="77" t="s">
        <v>1592</v>
      </c>
      <c r="L475" s="107" t="s">
        <v>25</v>
      </c>
      <c r="M475" s="132"/>
      <c r="N475" s="181" t="s">
        <v>39</v>
      </c>
      <c r="O475" s="109" t="s">
        <v>24</v>
      </c>
      <c r="P475" s="133"/>
      <c r="Q475" s="134"/>
      <c r="R475" s="133"/>
      <c r="S475" s="133"/>
      <c r="T475" s="106"/>
      <c r="U475" s="106"/>
      <c r="V475" s="106"/>
      <c r="W475" s="73" t="s">
        <v>2633</v>
      </c>
      <c r="X475" s="73">
        <v>1</v>
      </c>
      <c r="Y475" s="73">
        <v>1</v>
      </c>
      <c r="Z475" s="73"/>
      <c r="AA475" s="111" t="s">
        <v>509</v>
      </c>
      <c r="AB475" s="118"/>
      <c r="AC475" s="106"/>
      <c r="AD475" s="106"/>
      <c r="AE475" s="2"/>
      <c r="AF475" s="2"/>
    </row>
    <row r="476" spans="1:32" outlineLevel="1">
      <c r="A476" s="106">
        <v>475</v>
      </c>
      <c r="B476" s="73" t="s">
        <v>517</v>
      </c>
      <c r="C476" s="73"/>
      <c r="D476" s="216"/>
      <c r="E476" s="238" t="s">
        <v>2586</v>
      </c>
      <c r="F476" s="218"/>
      <c r="G476" s="75" t="s">
        <v>2587</v>
      </c>
      <c r="H476" s="75" t="s">
        <v>2588</v>
      </c>
      <c r="I476" s="75"/>
      <c r="J476" s="76"/>
      <c r="K476" s="77" t="s">
        <v>1592</v>
      </c>
      <c r="L476" s="107" t="s">
        <v>25</v>
      </c>
      <c r="M476" s="132"/>
      <c r="N476" s="181" t="s">
        <v>39</v>
      </c>
      <c r="O476" s="109" t="s">
        <v>24</v>
      </c>
      <c r="P476" s="133"/>
      <c r="Q476" s="134"/>
      <c r="R476" s="133"/>
      <c r="S476" s="133"/>
      <c r="T476" s="106"/>
      <c r="U476" s="106"/>
      <c r="V476" s="106"/>
      <c r="W476" s="73" t="s">
        <v>2633</v>
      </c>
      <c r="X476" s="73">
        <v>1</v>
      </c>
      <c r="Y476" s="73">
        <v>1</v>
      </c>
      <c r="Z476" s="73"/>
      <c r="AA476" s="111" t="s">
        <v>509</v>
      </c>
      <c r="AB476" s="118"/>
      <c r="AC476" s="106"/>
      <c r="AD476" s="106"/>
      <c r="AE476" s="2"/>
      <c r="AF476" s="2"/>
    </row>
    <row r="477" spans="1:32" ht="24" outlineLevel="1">
      <c r="A477" s="106">
        <v>476</v>
      </c>
      <c r="B477" s="73" t="s">
        <v>518</v>
      </c>
      <c r="C477" s="73"/>
      <c r="D477" s="216"/>
      <c r="E477" s="238" t="s">
        <v>2589</v>
      </c>
      <c r="F477" s="218"/>
      <c r="G477" s="75"/>
      <c r="H477" s="75" t="s">
        <v>2590</v>
      </c>
      <c r="I477" s="75"/>
      <c r="J477" s="76"/>
      <c r="K477" s="77" t="s">
        <v>1592</v>
      </c>
      <c r="L477" s="107" t="s">
        <v>25</v>
      </c>
      <c r="M477" s="132"/>
      <c r="N477" s="181" t="s">
        <v>39</v>
      </c>
      <c r="O477" s="109" t="s">
        <v>24</v>
      </c>
      <c r="P477" s="133"/>
      <c r="Q477" s="134"/>
      <c r="R477" s="133"/>
      <c r="S477" s="133"/>
      <c r="T477" s="106"/>
      <c r="U477" s="106"/>
      <c r="V477" s="106"/>
      <c r="W477" s="73" t="s">
        <v>2629</v>
      </c>
      <c r="X477" s="73">
        <v>1</v>
      </c>
      <c r="Y477" s="73">
        <v>1</v>
      </c>
      <c r="Z477" s="73"/>
      <c r="AA477" s="111" t="s">
        <v>509</v>
      </c>
      <c r="AB477" s="118"/>
      <c r="AC477" s="106"/>
      <c r="AD477" s="106"/>
      <c r="AE477" s="2"/>
      <c r="AF477" s="2"/>
    </row>
    <row r="478" spans="1:32" outlineLevel="1">
      <c r="A478" s="106">
        <v>477</v>
      </c>
      <c r="B478" s="73" t="s">
        <v>519</v>
      </c>
      <c r="C478" s="73"/>
      <c r="D478" s="216"/>
      <c r="E478" s="238" t="s">
        <v>2591</v>
      </c>
      <c r="F478" s="218"/>
      <c r="G478" s="75"/>
      <c r="H478" s="75" t="s">
        <v>514</v>
      </c>
      <c r="I478" s="75"/>
      <c r="J478" s="76"/>
      <c r="K478" s="77" t="s">
        <v>1592</v>
      </c>
      <c r="L478" s="107" t="s">
        <v>25</v>
      </c>
      <c r="M478" s="132"/>
      <c r="N478" s="181" t="s">
        <v>39</v>
      </c>
      <c r="O478" s="109" t="s">
        <v>24</v>
      </c>
      <c r="P478" s="133"/>
      <c r="Q478" s="134"/>
      <c r="R478" s="133"/>
      <c r="S478" s="133"/>
      <c r="T478" s="106"/>
      <c r="U478" s="106"/>
      <c r="V478" s="106"/>
      <c r="W478" s="73" t="s">
        <v>2628</v>
      </c>
      <c r="X478" s="73">
        <v>1</v>
      </c>
      <c r="Y478" s="73">
        <v>1</v>
      </c>
      <c r="Z478" s="73"/>
      <c r="AA478" s="111" t="s">
        <v>509</v>
      </c>
      <c r="AB478" s="118"/>
      <c r="AC478" s="106"/>
      <c r="AD478" s="106"/>
      <c r="AE478" s="2"/>
      <c r="AF478" s="2"/>
    </row>
    <row r="479" spans="1:32" outlineLevel="1">
      <c r="A479" s="106">
        <v>478</v>
      </c>
      <c r="B479" s="73" t="s">
        <v>2592</v>
      </c>
      <c r="C479" s="73"/>
      <c r="D479" s="216"/>
      <c r="E479" s="238" t="s">
        <v>2593</v>
      </c>
      <c r="F479" s="218"/>
      <c r="G479" s="75" t="s">
        <v>2594</v>
      </c>
      <c r="H479" s="75"/>
      <c r="I479" s="75"/>
      <c r="J479" s="76"/>
      <c r="K479" s="77" t="s">
        <v>1592</v>
      </c>
      <c r="L479" s="107" t="s">
        <v>25</v>
      </c>
      <c r="M479" s="132"/>
      <c r="N479" s="181" t="s">
        <v>39</v>
      </c>
      <c r="O479" s="109" t="s">
        <v>24</v>
      </c>
      <c r="P479" s="133"/>
      <c r="Q479" s="134"/>
      <c r="R479" s="133"/>
      <c r="S479" s="133"/>
      <c r="T479" s="106"/>
      <c r="U479" s="106"/>
      <c r="V479" s="106"/>
      <c r="W479" s="73" t="s">
        <v>2629</v>
      </c>
      <c r="X479" s="73">
        <v>1</v>
      </c>
      <c r="Y479" s="73">
        <v>1</v>
      </c>
      <c r="Z479" s="73"/>
      <c r="AA479" s="111" t="s">
        <v>509</v>
      </c>
      <c r="AB479" s="118"/>
      <c r="AC479" s="106"/>
      <c r="AD479" s="106"/>
      <c r="AE479" s="2"/>
      <c r="AF479" s="2"/>
    </row>
    <row r="480" spans="1:32" outlineLevel="1">
      <c r="A480" s="106">
        <v>479</v>
      </c>
      <c r="B480" s="73"/>
      <c r="C480" s="73"/>
      <c r="D480" s="216"/>
      <c r="E480" s="75"/>
      <c r="F480" s="218"/>
      <c r="G480" s="75" t="s">
        <v>2595</v>
      </c>
      <c r="H480" s="75"/>
      <c r="I480" s="75"/>
      <c r="J480" s="76" t="s">
        <v>2539</v>
      </c>
      <c r="K480" s="73"/>
      <c r="L480" s="113"/>
      <c r="M480" s="114"/>
      <c r="N480" s="182"/>
      <c r="O480" s="115"/>
      <c r="P480" s="115"/>
      <c r="Q480" s="116"/>
      <c r="R480" s="115"/>
      <c r="S480" s="115"/>
      <c r="T480" s="106"/>
      <c r="U480" s="106"/>
      <c r="V480" s="106"/>
      <c r="W480" s="73"/>
      <c r="X480" s="73"/>
      <c r="Y480" s="73"/>
      <c r="Z480" s="73"/>
      <c r="AA480" s="111" t="s">
        <v>509</v>
      </c>
      <c r="AB480" s="118"/>
      <c r="AC480" s="106"/>
      <c r="AD480" s="106"/>
      <c r="AE480" s="2"/>
      <c r="AF480" s="2"/>
    </row>
    <row r="481" spans="1:32" outlineLevel="1">
      <c r="A481" s="106">
        <v>480</v>
      </c>
      <c r="B481" s="73" t="s">
        <v>2596</v>
      </c>
      <c r="C481" s="73" t="s">
        <v>1620</v>
      </c>
      <c r="D481" s="216"/>
      <c r="E481" s="228" t="s">
        <v>2597</v>
      </c>
      <c r="F481" s="218"/>
      <c r="G481" s="176" t="s">
        <v>2598</v>
      </c>
      <c r="H481" s="75"/>
      <c r="I481" s="75"/>
      <c r="J481" s="76"/>
      <c r="K481" s="74" t="s">
        <v>2571</v>
      </c>
      <c r="L481" s="131"/>
      <c r="M481" s="132"/>
      <c r="N481" s="181">
        <v>46178</v>
      </c>
      <c r="O481" s="119" t="s">
        <v>34</v>
      </c>
      <c r="P481" s="120">
        <v>46181</v>
      </c>
      <c r="Q481" s="134"/>
      <c r="R481" s="133"/>
      <c r="S481" s="133"/>
      <c r="T481" s="106"/>
      <c r="U481" s="106"/>
      <c r="V481" s="106"/>
      <c r="W481" s="73" t="s">
        <v>2633</v>
      </c>
      <c r="X481" s="73">
        <v>1</v>
      </c>
      <c r="Y481" s="73">
        <v>1</v>
      </c>
      <c r="Z481" s="73"/>
      <c r="AA481" s="111" t="s">
        <v>520</v>
      </c>
      <c r="AB481" s="118"/>
      <c r="AC481" s="106"/>
      <c r="AD481" s="106"/>
      <c r="AE481" s="2"/>
      <c r="AF481" s="2"/>
    </row>
    <row r="482" spans="1:32" s="101" customFormat="1">
      <c r="A482" s="106">
        <v>481</v>
      </c>
      <c r="B482" s="83"/>
      <c r="C482" s="83"/>
      <c r="D482" s="220"/>
      <c r="E482" s="84"/>
      <c r="F482" s="221"/>
      <c r="G482" s="84"/>
      <c r="H482" s="84"/>
      <c r="I482" s="84"/>
      <c r="J482" s="84"/>
      <c r="K482" s="83"/>
      <c r="L482" s="121"/>
      <c r="M482" s="122"/>
      <c r="N482" s="183"/>
      <c r="O482" s="161" t="s">
        <v>34</v>
      </c>
      <c r="P482" s="162">
        <v>46181</v>
      </c>
      <c r="Q482" s="124"/>
      <c r="R482" s="123"/>
      <c r="S482" s="123"/>
      <c r="T482" s="125"/>
      <c r="U482" s="125"/>
      <c r="V482" s="125"/>
      <c r="W482" s="83"/>
      <c r="X482" s="83"/>
      <c r="Y482" s="83"/>
      <c r="Z482" s="83"/>
      <c r="AA482" s="126"/>
      <c r="AB482" s="127"/>
      <c r="AC482" s="125"/>
      <c r="AD482" s="125"/>
      <c r="AE482" s="100"/>
      <c r="AF482" s="100"/>
    </row>
    <row r="483" spans="1:32" outlineLevel="1">
      <c r="A483" s="106">
        <v>482</v>
      </c>
      <c r="B483" s="73" t="s">
        <v>2599</v>
      </c>
      <c r="C483" s="73" t="s">
        <v>1620</v>
      </c>
      <c r="D483" s="216" t="s">
        <v>2600</v>
      </c>
      <c r="E483" s="239" t="s">
        <v>2601</v>
      </c>
      <c r="F483" s="222" t="s">
        <v>2600</v>
      </c>
      <c r="G483" s="75"/>
      <c r="H483" s="75"/>
      <c r="I483" s="75"/>
      <c r="J483" s="76"/>
      <c r="K483" s="77" t="s">
        <v>1592</v>
      </c>
      <c r="L483" s="131"/>
      <c r="M483" s="132"/>
      <c r="N483" s="185"/>
      <c r="O483" s="119" t="s">
        <v>34</v>
      </c>
      <c r="P483" s="120">
        <v>46181</v>
      </c>
      <c r="Q483" s="177" t="s">
        <v>1564</v>
      </c>
      <c r="R483" s="133"/>
      <c r="S483" s="133"/>
      <c r="T483" s="106"/>
      <c r="U483" s="106"/>
      <c r="V483" s="106"/>
      <c r="W483" s="73" t="s">
        <v>2629</v>
      </c>
      <c r="X483" s="73">
        <v>1</v>
      </c>
      <c r="Y483" s="73">
        <v>1</v>
      </c>
      <c r="Z483" s="73"/>
      <c r="AA483" s="112"/>
      <c r="AB483" s="118"/>
      <c r="AC483" s="106"/>
      <c r="AD483" s="106"/>
      <c r="AE483" s="2"/>
      <c r="AF483" s="2"/>
    </row>
    <row r="484" spans="1:32" outlineLevel="1">
      <c r="A484" s="106">
        <v>483</v>
      </c>
      <c r="B484" s="73"/>
      <c r="C484" s="73"/>
      <c r="D484" s="216"/>
      <c r="E484" s="75"/>
      <c r="F484" s="218"/>
      <c r="G484" s="75" t="s">
        <v>2602</v>
      </c>
      <c r="H484" s="75"/>
      <c r="I484" s="75"/>
      <c r="J484" s="76" t="s">
        <v>1877</v>
      </c>
      <c r="K484" s="73"/>
      <c r="L484" s="113"/>
      <c r="M484" s="114"/>
      <c r="N484" s="182"/>
      <c r="O484" s="119" t="s">
        <v>34</v>
      </c>
      <c r="P484" s="120">
        <v>46181</v>
      </c>
      <c r="Q484" s="177" t="s">
        <v>1564</v>
      </c>
      <c r="R484" s="115"/>
      <c r="S484" s="115"/>
      <c r="T484" s="106"/>
      <c r="U484" s="106"/>
      <c r="V484" s="106"/>
      <c r="W484" s="73"/>
      <c r="X484" s="73"/>
      <c r="Y484" s="73"/>
      <c r="Z484" s="73"/>
      <c r="AA484" s="111" t="s">
        <v>521</v>
      </c>
      <c r="AB484" s="118"/>
      <c r="AC484" s="106" t="s">
        <v>522</v>
      </c>
      <c r="AD484" s="106" t="s">
        <v>523</v>
      </c>
      <c r="AE484" s="2"/>
      <c r="AF484" s="2"/>
    </row>
    <row r="485" spans="1:32" outlineLevel="1">
      <c r="A485" s="106">
        <v>484</v>
      </c>
      <c r="B485" s="73"/>
      <c r="C485" s="73"/>
      <c r="D485" s="216"/>
      <c r="E485" s="75" t="s">
        <v>2603</v>
      </c>
      <c r="F485" s="218"/>
      <c r="G485" s="75" t="s">
        <v>2604</v>
      </c>
      <c r="H485" s="75"/>
      <c r="I485" s="75"/>
      <c r="J485" s="76"/>
      <c r="K485" s="73"/>
      <c r="L485" s="107" t="s">
        <v>25</v>
      </c>
      <c r="M485" s="132"/>
      <c r="N485" s="181" t="s">
        <v>39</v>
      </c>
      <c r="O485" s="119" t="s">
        <v>34</v>
      </c>
      <c r="P485" s="120">
        <v>46181</v>
      </c>
      <c r="Q485" s="177" t="s">
        <v>1564</v>
      </c>
      <c r="R485" s="133"/>
      <c r="S485" s="133"/>
      <c r="T485" s="106"/>
      <c r="U485" s="106"/>
      <c r="V485" s="106"/>
      <c r="W485" s="73"/>
      <c r="X485" s="73"/>
      <c r="Y485" s="73"/>
      <c r="Z485" s="73"/>
      <c r="AA485" s="111" t="s">
        <v>524</v>
      </c>
      <c r="AB485" s="118"/>
      <c r="AC485" s="106"/>
      <c r="AD485" s="106"/>
      <c r="AE485" s="2"/>
      <c r="AF485" s="2"/>
    </row>
    <row r="486" spans="1:32" outlineLevel="1">
      <c r="A486" s="106">
        <v>485</v>
      </c>
      <c r="B486" s="73"/>
      <c r="C486" s="73"/>
      <c r="D486" s="216"/>
      <c r="E486" s="75"/>
      <c r="F486" s="218"/>
      <c r="G486" s="75" t="s">
        <v>2605</v>
      </c>
      <c r="H486" s="75"/>
      <c r="I486" s="75"/>
      <c r="J486" s="76" t="s">
        <v>2606</v>
      </c>
      <c r="K486" s="73"/>
      <c r="L486" s="113"/>
      <c r="M486" s="114"/>
      <c r="N486" s="182"/>
      <c r="O486" s="119" t="s">
        <v>34</v>
      </c>
      <c r="P486" s="120">
        <v>46181</v>
      </c>
      <c r="Q486" s="177" t="s">
        <v>1564</v>
      </c>
      <c r="R486" s="115"/>
      <c r="S486" s="115"/>
      <c r="T486" s="106"/>
      <c r="U486" s="106"/>
      <c r="V486" s="106"/>
      <c r="W486" s="73"/>
      <c r="X486" s="73"/>
      <c r="Y486" s="73"/>
      <c r="Z486" s="73"/>
      <c r="AA486" s="111" t="s">
        <v>525</v>
      </c>
      <c r="AB486" s="118"/>
      <c r="AC486" s="106"/>
      <c r="AD486" s="106"/>
      <c r="AE486" s="2"/>
      <c r="AF486" s="2"/>
    </row>
    <row r="487" spans="1:32" outlineLevel="1">
      <c r="A487" s="106">
        <v>486</v>
      </c>
      <c r="B487" s="73" t="s">
        <v>2607</v>
      </c>
      <c r="C487" s="73"/>
      <c r="D487" s="216"/>
      <c r="E487" s="228" t="s">
        <v>2608</v>
      </c>
      <c r="F487" s="218"/>
      <c r="G487" s="75" t="s">
        <v>2609</v>
      </c>
      <c r="H487" s="75"/>
      <c r="I487" s="75"/>
      <c r="J487" s="76"/>
      <c r="K487" s="77" t="s">
        <v>1592</v>
      </c>
      <c r="L487" s="131"/>
      <c r="M487" s="132"/>
      <c r="N487" s="185"/>
      <c r="O487" s="119" t="s">
        <v>34</v>
      </c>
      <c r="P487" s="120">
        <v>46181</v>
      </c>
      <c r="Q487" s="177" t="s">
        <v>1564</v>
      </c>
      <c r="R487" s="133"/>
      <c r="S487" s="133"/>
      <c r="T487" s="106"/>
      <c r="U487" s="106"/>
      <c r="V487" s="106"/>
      <c r="W487" s="73" t="s">
        <v>2630</v>
      </c>
      <c r="X487" s="73"/>
      <c r="Y487" s="73">
        <v>1</v>
      </c>
      <c r="Z487" s="73">
        <v>1</v>
      </c>
      <c r="AA487" s="111" t="s">
        <v>526</v>
      </c>
      <c r="AB487" s="118"/>
      <c r="AC487" s="106"/>
      <c r="AD487" s="106"/>
      <c r="AE487" s="2"/>
      <c r="AF487" s="2"/>
    </row>
    <row r="488" spans="1:32" outlineLevel="1">
      <c r="A488" s="106">
        <v>487</v>
      </c>
      <c r="B488" s="73"/>
      <c r="C488" s="73"/>
      <c r="D488" s="216"/>
      <c r="E488" s="75"/>
      <c r="F488" s="218"/>
      <c r="G488" s="75" t="s">
        <v>2610</v>
      </c>
      <c r="H488" s="75"/>
      <c r="I488" s="75"/>
      <c r="J488" s="76"/>
      <c r="K488" s="73"/>
      <c r="L488" s="113"/>
      <c r="M488" s="114"/>
      <c r="N488" s="182"/>
      <c r="O488" s="119" t="s">
        <v>34</v>
      </c>
      <c r="P488" s="120">
        <v>46181</v>
      </c>
      <c r="Q488" s="177" t="s">
        <v>1564</v>
      </c>
      <c r="R488" s="115"/>
      <c r="S488" s="115"/>
      <c r="T488" s="106"/>
      <c r="U488" s="106"/>
      <c r="V488" s="106"/>
      <c r="W488" s="73"/>
      <c r="X488" s="73"/>
      <c r="Y488" s="73"/>
      <c r="Z488" s="73"/>
      <c r="AA488" s="111" t="s">
        <v>527</v>
      </c>
      <c r="AB488" s="118"/>
      <c r="AC488" s="106"/>
      <c r="AD488" s="106"/>
      <c r="AE488" s="2"/>
      <c r="AF488" s="2"/>
    </row>
    <row r="489" spans="1:32" outlineLevel="1">
      <c r="A489" s="106">
        <v>488</v>
      </c>
      <c r="B489" s="73"/>
      <c r="C489" s="94" t="s">
        <v>1603</v>
      </c>
      <c r="D489" s="216" t="s">
        <v>2611</v>
      </c>
      <c r="E489" s="75" t="s">
        <v>2612</v>
      </c>
      <c r="F489" s="218" t="s">
        <v>2613</v>
      </c>
      <c r="G489" s="75" t="s">
        <v>2614</v>
      </c>
      <c r="H489" s="75"/>
      <c r="I489" s="75"/>
      <c r="J489" s="76" t="s">
        <v>2539</v>
      </c>
      <c r="K489" s="73"/>
      <c r="L489" s="131"/>
      <c r="M489" s="132"/>
      <c r="N489" s="185"/>
      <c r="O489" s="119" t="s">
        <v>34</v>
      </c>
      <c r="P489" s="120">
        <v>46181</v>
      </c>
      <c r="Q489" s="134" t="s">
        <v>1575</v>
      </c>
      <c r="R489" s="133"/>
      <c r="S489" s="133"/>
      <c r="T489" s="106"/>
      <c r="U489" s="106"/>
      <c r="V489" s="106"/>
      <c r="W489" s="73"/>
      <c r="X489" s="73"/>
      <c r="Y489" s="73"/>
      <c r="Z489" s="73"/>
      <c r="AA489" s="111" t="s">
        <v>528</v>
      </c>
      <c r="AB489" s="118"/>
      <c r="AC489" s="106"/>
      <c r="AD489" s="106"/>
      <c r="AE489" s="2"/>
      <c r="AF489" s="2"/>
    </row>
    <row r="490" spans="1:32" s="79" customFormat="1">
      <c r="A490" s="80" t="s">
        <v>1763</v>
      </c>
      <c r="B490" s="73"/>
      <c r="C490" s="73"/>
      <c r="D490" s="216"/>
      <c r="E490" s="75" t="s">
        <v>2615</v>
      </c>
      <c r="F490" s="218"/>
      <c r="G490" s="75" t="s">
        <v>2616</v>
      </c>
      <c r="H490" s="75"/>
      <c r="I490" s="75"/>
      <c r="J490" s="76" t="s">
        <v>2539</v>
      </c>
      <c r="K490" s="73"/>
      <c r="L490" s="73"/>
      <c r="M490" s="73"/>
      <c r="N490" s="184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6" t="s">
        <v>2639</v>
      </c>
      <c r="AB490" s="78"/>
      <c r="AC490" s="130"/>
      <c r="AD490" s="130"/>
    </row>
    <row r="491" spans="1:32" s="79" customFormat="1" ht="24">
      <c r="A491" s="80" t="s">
        <v>1763</v>
      </c>
      <c r="B491" s="73" t="s">
        <v>2617</v>
      </c>
      <c r="C491" s="73" t="s">
        <v>2618</v>
      </c>
      <c r="D491" s="216" t="s">
        <v>2619</v>
      </c>
      <c r="E491" s="228" t="s">
        <v>2620</v>
      </c>
      <c r="F491" s="218" t="s">
        <v>2621</v>
      </c>
      <c r="G491" s="75"/>
      <c r="H491" s="75"/>
      <c r="I491" s="75"/>
      <c r="J491" s="76" t="s">
        <v>2622</v>
      </c>
      <c r="K491" s="77" t="s">
        <v>1592</v>
      </c>
      <c r="L491" s="73"/>
      <c r="M491" s="73"/>
      <c r="N491" s="184"/>
      <c r="O491" s="73"/>
      <c r="P491" s="73"/>
      <c r="Q491" s="73"/>
      <c r="R491" s="73"/>
      <c r="S491" s="73"/>
      <c r="T491" s="73"/>
      <c r="U491" s="73"/>
      <c r="V491" s="73"/>
      <c r="W491" s="73" t="s">
        <v>2630</v>
      </c>
      <c r="X491" s="73"/>
      <c r="Y491" s="73">
        <v>1</v>
      </c>
      <c r="Z491" s="73">
        <v>1</v>
      </c>
      <c r="AA491" s="76" t="s">
        <v>2640</v>
      </c>
      <c r="AB491" s="78"/>
      <c r="AC491" s="130"/>
      <c r="AD491" s="130"/>
    </row>
    <row r="492" spans="1:32">
      <c r="A492" s="125"/>
      <c r="B492" s="83"/>
      <c r="C492" s="83"/>
      <c r="D492" s="84"/>
      <c r="E492" s="84"/>
      <c r="F492" s="84"/>
      <c r="G492" s="84"/>
      <c r="H492" s="84"/>
      <c r="I492" s="84"/>
      <c r="J492" s="95" t="s">
        <v>2623</v>
      </c>
      <c r="K492" s="96">
        <f>COUNTIF(K2:K491, "y")</f>
        <v>340</v>
      </c>
      <c r="L492" s="163"/>
      <c r="M492" s="164"/>
      <c r="N492" s="188"/>
      <c r="O492" s="165"/>
      <c r="P492" s="165"/>
      <c r="Q492" s="166"/>
      <c r="R492" s="165"/>
      <c r="S492" s="165"/>
      <c r="T492" s="96">
        <f t="shared" ref="T492:V492" si="0">COUNTIF(T2:T491, "y")</f>
        <v>0</v>
      </c>
      <c r="U492" s="96">
        <f t="shared" si="0"/>
        <v>0</v>
      </c>
      <c r="V492" s="96">
        <f t="shared" si="0"/>
        <v>0</v>
      </c>
      <c r="W492" s="83"/>
      <c r="X492" s="99">
        <f>SUM(X2:X491)</f>
        <v>251</v>
      </c>
      <c r="Y492" s="99">
        <f>SUM(Y2:Y491)</f>
        <v>432</v>
      </c>
      <c r="Z492" s="99">
        <f>SUM(Z2:Z491)</f>
        <v>93</v>
      </c>
      <c r="AA492" s="167">
        <f>X492+Z492</f>
        <v>344</v>
      </c>
      <c r="AB492" s="160"/>
      <c r="AC492" s="158"/>
      <c r="AD492" s="158"/>
      <c r="AE492" s="2"/>
      <c r="AF492" s="2"/>
    </row>
    <row r="493" spans="1:32">
      <c r="A493" s="125"/>
      <c r="B493" s="83"/>
      <c r="C493" s="83"/>
      <c r="D493" s="84" t="s">
        <v>2475</v>
      </c>
      <c r="E493" s="84"/>
      <c r="F493" s="84"/>
      <c r="G493" s="84"/>
      <c r="H493" s="84"/>
      <c r="I493" s="84"/>
      <c r="J493" s="97" t="s">
        <v>2624</v>
      </c>
      <c r="K493" s="98">
        <f>COUNTIF(K2:K491, "n")</f>
        <v>0</v>
      </c>
      <c r="L493" s="168"/>
      <c r="M493" s="169"/>
      <c r="N493" s="189"/>
      <c r="O493" s="170"/>
      <c r="P493" s="170"/>
      <c r="Q493" s="171"/>
      <c r="R493" s="170"/>
      <c r="S493" s="170"/>
      <c r="T493" s="98">
        <f t="shared" ref="T493:V493" si="1">COUNTIF(T2:T491, "n")</f>
        <v>0</v>
      </c>
      <c r="U493" s="98">
        <f t="shared" si="1"/>
        <v>0</v>
      </c>
      <c r="V493" s="98">
        <f t="shared" si="1"/>
        <v>0</v>
      </c>
      <c r="W493" s="83"/>
      <c r="X493" s="83"/>
      <c r="Y493" s="83"/>
      <c r="Z493" s="83"/>
      <c r="AA493" s="159"/>
      <c r="AB493" s="160"/>
      <c r="AC493" s="158"/>
      <c r="AD493" s="158"/>
      <c r="AE493" s="2"/>
      <c r="AF493" s="2"/>
    </row>
  </sheetData>
  <autoFilter ref="A1:AD493"/>
  <phoneticPr fontId="34" type="noConversion"/>
  <conditionalFormatting sqref="I125:I126">
    <cfRule type="duplicateValues" dxfId="3" priority="3"/>
  </conditionalFormatting>
  <conditionalFormatting sqref="I149:I151">
    <cfRule type="duplicateValues" dxfId="2" priority="2"/>
  </conditionalFormatting>
  <conditionalFormatting sqref="I148">
    <cfRule type="duplicateValues" dxfId="1" priority="1"/>
  </conditionalFormatting>
  <conditionalFormatting sqref="I146:I147">
    <cfRule type="duplicateValues" dxfId="0" priority="4"/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/>
  <cols>
    <col min="1" max="2" width="9" customWidth="1"/>
    <col min="3" max="3" width="16.7109375" customWidth="1"/>
    <col min="4" max="4" width="19.5703125" customWidth="1"/>
    <col min="5" max="5" width="54.28515625" customWidth="1"/>
    <col min="6" max="26" width="8.7109375" customWidth="1"/>
  </cols>
  <sheetData>
    <row r="1" spans="1:5" ht="16.5" customHeight="1">
      <c r="A1" s="4" t="s">
        <v>529</v>
      </c>
      <c r="B1" s="5"/>
      <c r="C1" s="5"/>
      <c r="D1" s="5"/>
      <c r="E1" s="5"/>
    </row>
    <row r="2" spans="1:5" ht="16.5" customHeight="1">
      <c r="A2" s="6" t="s">
        <v>530</v>
      </c>
      <c r="B2" s="6" t="s">
        <v>531</v>
      </c>
      <c r="C2" s="6" t="s">
        <v>532</v>
      </c>
      <c r="D2" s="6" t="s">
        <v>533</v>
      </c>
      <c r="E2" s="6" t="s">
        <v>534</v>
      </c>
    </row>
    <row r="3" spans="1:5" ht="16.5" customHeight="1">
      <c r="A3" s="7">
        <v>1</v>
      </c>
      <c r="B3" s="7" t="s">
        <v>535</v>
      </c>
      <c r="C3" s="8" t="s">
        <v>175</v>
      </c>
      <c r="D3" s="9" t="s">
        <v>536</v>
      </c>
      <c r="E3" s="8" t="s">
        <v>537</v>
      </c>
    </row>
    <row r="4" spans="1:5" ht="16.5" customHeight="1">
      <c r="A4" s="7">
        <v>2</v>
      </c>
      <c r="B4" s="7" t="s">
        <v>538</v>
      </c>
      <c r="C4" s="8" t="s">
        <v>201</v>
      </c>
      <c r="D4" s="9" t="s">
        <v>539</v>
      </c>
      <c r="E4" s="8" t="s">
        <v>540</v>
      </c>
    </row>
    <row r="5" spans="1:5" ht="16.5" customHeight="1">
      <c r="A5" s="7">
        <v>3</v>
      </c>
      <c r="B5" s="7" t="s">
        <v>541</v>
      </c>
      <c r="C5" s="8" t="s">
        <v>391</v>
      </c>
      <c r="D5" s="9" t="s">
        <v>542</v>
      </c>
      <c r="E5" s="8" t="s">
        <v>543</v>
      </c>
    </row>
    <row r="6" spans="1:5" ht="16.5" customHeight="1">
      <c r="A6" s="7">
        <v>4</v>
      </c>
      <c r="B6" s="7" t="s">
        <v>544</v>
      </c>
      <c r="C6" s="8" t="s">
        <v>422</v>
      </c>
      <c r="D6" s="9" t="s">
        <v>545</v>
      </c>
      <c r="E6" s="8" t="s">
        <v>546</v>
      </c>
    </row>
    <row r="7" spans="1:5" ht="16.5" customHeight="1">
      <c r="A7" s="7">
        <v>5</v>
      </c>
      <c r="B7" s="7" t="s">
        <v>547</v>
      </c>
      <c r="C7" s="8" t="s">
        <v>548</v>
      </c>
      <c r="D7" s="9" t="s">
        <v>549</v>
      </c>
      <c r="E7" s="8" t="s">
        <v>550</v>
      </c>
    </row>
    <row r="8" spans="1:5" ht="16.5" customHeight="1">
      <c r="A8" s="7">
        <v>6</v>
      </c>
      <c r="B8" s="7" t="s">
        <v>551</v>
      </c>
      <c r="C8" s="8" t="s">
        <v>457</v>
      </c>
      <c r="D8" s="8" t="s">
        <v>552</v>
      </c>
      <c r="E8" s="8" t="s">
        <v>553</v>
      </c>
    </row>
    <row r="9" spans="1:5" ht="16.5" customHeight="1">
      <c r="A9" s="7">
        <v>7</v>
      </c>
      <c r="B9" s="7" t="s">
        <v>554</v>
      </c>
      <c r="C9" s="8" t="s">
        <v>555</v>
      </c>
      <c r="D9" s="8" t="s">
        <v>556</v>
      </c>
      <c r="E9" s="8" t="s">
        <v>557</v>
      </c>
    </row>
    <row r="10" spans="1:5" ht="16.5" customHeight="1">
      <c r="A10" s="7">
        <v>8</v>
      </c>
      <c r="B10" s="7" t="s">
        <v>558</v>
      </c>
      <c r="C10" s="8" t="s">
        <v>559</v>
      </c>
      <c r="D10" s="9" t="s">
        <v>560</v>
      </c>
      <c r="E10" s="8" t="s">
        <v>561</v>
      </c>
    </row>
    <row r="11" spans="1:5" ht="16.5" customHeight="1">
      <c r="A11" s="5"/>
      <c r="B11" s="5"/>
      <c r="C11" s="5"/>
      <c r="D11" s="5"/>
      <c r="E11" s="5"/>
    </row>
    <row r="12" spans="1:5" ht="16.5" customHeight="1">
      <c r="A12" s="4" t="s">
        <v>562</v>
      </c>
      <c r="B12" s="5"/>
      <c r="C12" s="5"/>
      <c r="D12" s="5"/>
      <c r="E12" s="5"/>
    </row>
    <row r="13" spans="1:5" ht="16.5" customHeight="1">
      <c r="A13" s="6" t="s">
        <v>530</v>
      </c>
      <c r="B13" s="6" t="s">
        <v>531</v>
      </c>
      <c r="C13" s="6" t="s">
        <v>532</v>
      </c>
      <c r="D13" s="6" t="s">
        <v>533</v>
      </c>
      <c r="E13" s="6" t="s">
        <v>563</v>
      </c>
    </row>
    <row r="14" spans="1:5" ht="16.5" customHeight="1">
      <c r="A14" s="7">
        <v>1</v>
      </c>
      <c r="B14" s="7" t="s">
        <v>535</v>
      </c>
      <c r="C14" s="8" t="s">
        <v>175</v>
      </c>
      <c r="D14" s="9" t="s">
        <v>564</v>
      </c>
      <c r="E14" s="8" t="s">
        <v>565</v>
      </c>
    </row>
    <row r="15" spans="1:5" ht="16.5" customHeight="1">
      <c r="A15" s="7">
        <v>2</v>
      </c>
      <c r="B15" s="7" t="s">
        <v>538</v>
      </c>
      <c r="C15" s="8" t="s">
        <v>201</v>
      </c>
      <c r="D15" s="9" t="s">
        <v>566</v>
      </c>
      <c r="E15" s="8" t="s">
        <v>567</v>
      </c>
    </row>
    <row r="16" spans="1:5" ht="16.5" customHeight="1">
      <c r="A16" s="7">
        <v>3</v>
      </c>
      <c r="B16" s="7" t="s">
        <v>541</v>
      </c>
      <c r="C16" s="8" t="s">
        <v>391</v>
      </c>
      <c r="D16" s="9" t="s">
        <v>568</v>
      </c>
      <c r="E16" s="8" t="s">
        <v>569</v>
      </c>
    </row>
    <row r="17" spans="1:5" ht="16.5" customHeight="1">
      <c r="A17" s="7">
        <v>4</v>
      </c>
      <c r="B17" s="7" t="s">
        <v>544</v>
      </c>
      <c r="C17" s="8" t="s">
        <v>422</v>
      </c>
      <c r="D17" s="9" t="s">
        <v>570</v>
      </c>
      <c r="E17" s="8" t="s">
        <v>571</v>
      </c>
    </row>
    <row r="18" spans="1:5" ht="16.5" customHeight="1">
      <c r="A18" s="7">
        <v>5</v>
      </c>
      <c r="B18" s="7" t="s">
        <v>547</v>
      </c>
      <c r="C18" s="8" t="s">
        <v>548</v>
      </c>
      <c r="D18" s="9" t="s">
        <v>572</v>
      </c>
      <c r="E18" s="8" t="s">
        <v>573</v>
      </c>
    </row>
    <row r="19" spans="1:5" ht="16.5" customHeight="1">
      <c r="A19" s="7">
        <v>6</v>
      </c>
      <c r="B19" s="7" t="s">
        <v>551</v>
      </c>
      <c r="C19" s="8" t="s">
        <v>457</v>
      </c>
      <c r="D19" s="8" t="s">
        <v>574</v>
      </c>
      <c r="E19" s="8" t="s">
        <v>575</v>
      </c>
    </row>
    <row r="20" spans="1:5" ht="16.5" customHeight="1">
      <c r="A20" s="7">
        <v>7</v>
      </c>
      <c r="B20" s="7" t="s">
        <v>554</v>
      </c>
      <c r="C20" s="8" t="s">
        <v>555</v>
      </c>
      <c r="D20" s="8" t="s">
        <v>556</v>
      </c>
      <c r="E20" s="8" t="s">
        <v>576</v>
      </c>
    </row>
    <row r="21" spans="1:5" ht="16.5" customHeight="1">
      <c r="A21" s="7">
        <v>8</v>
      </c>
      <c r="B21" s="7" t="s">
        <v>558</v>
      </c>
      <c r="C21" s="8" t="s">
        <v>559</v>
      </c>
      <c r="D21" s="9" t="s">
        <v>577</v>
      </c>
      <c r="E21" s="8" t="s">
        <v>578</v>
      </c>
    </row>
    <row r="22" spans="1:5" ht="16.5" customHeight="1">
      <c r="A22" s="5"/>
      <c r="B22" s="5"/>
      <c r="C22" s="5"/>
      <c r="D22" s="5"/>
      <c r="E22" s="5"/>
    </row>
    <row r="23" spans="1:5" ht="132" customHeight="1">
      <c r="A23" s="191" t="s">
        <v>579</v>
      </c>
      <c r="B23" s="192"/>
      <c r="C23" s="192"/>
      <c r="D23" s="192"/>
      <c r="E23" s="192"/>
    </row>
    <row r="24" spans="1:5" ht="16.5" customHeight="1">
      <c r="A24" s="5"/>
      <c r="B24" s="5"/>
      <c r="C24" s="5"/>
      <c r="D24" s="5"/>
      <c r="E24" s="5"/>
    </row>
    <row r="25" spans="1:5" ht="16.5" customHeight="1">
      <c r="A25" s="5"/>
      <c r="B25" s="5"/>
      <c r="C25" s="5"/>
      <c r="D25" s="5"/>
      <c r="E25" s="5"/>
    </row>
    <row r="26" spans="1:5" ht="16.5" customHeight="1">
      <c r="A26" s="5"/>
      <c r="B26" s="5"/>
      <c r="C26" s="5"/>
      <c r="D26" s="5"/>
      <c r="E26" s="5"/>
    </row>
    <row r="27" spans="1:5" ht="16.5" customHeight="1">
      <c r="A27" s="5"/>
      <c r="B27" s="5"/>
      <c r="C27" s="5"/>
      <c r="D27" s="5"/>
      <c r="E27" s="5"/>
    </row>
    <row r="28" spans="1:5" ht="16.5" customHeight="1">
      <c r="A28" s="5"/>
      <c r="B28" s="5"/>
      <c r="C28" s="5"/>
      <c r="D28" s="5"/>
      <c r="E28" s="5"/>
    </row>
    <row r="29" spans="1:5" ht="16.5" customHeight="1">
      <c r="A29" s="5"/>
      <c r="B29" s="5"/>
      <c r="C29" s="5"/>
      <c r="D29" s="5"/>
      <c r="E29" s="5"/>
    </row>
    <row r="30" spans="1:5" ht="16.5" customHeight="1">
      <c r="A30" s="5"/>
      <c r="B30" s="5"/>
      <c r="C30" s="5"/>
      <c r="D30" s="5"/>
      <c r="E30" s="5"/>
    </row>
    <row r="31" spans="1:5" ht="16.5" customHeight="1">
      <c r="A31" s="5"/>
      <c r="B31" s="5"/>
      <c r="C31" s="5"/>
      <c r="D31" s="5"/>
      <c r="E31" s="5"/>
    </row>
    <row r="32" spans="1:5" ht="16.5" customHeight="1">
      <c r="A32" s="5"/>
      <c r="B32" s="5"/>
      <c r="C32" s="5"/>
      <c r="D32" s="5"/>
      <c r="E32" s="5"/>
    </row>
    <row r="33" spans="1:5" ht="16.5" customHeight="1">
      <c r="A33" s="5"/>
      <c r="B33" s="5"/>
      <c r="C33" s="5"/>
      <c r="D33" s="5"/>
      <c r="E33" s="5"/>
    </row>
    <row r="34" spans="1:5" ht="16.5" customHeight="1">
      <c r="A34" s="5"/>
      <c r="B34" s="5"/>
      <c r="C34" s="5"/>
      <c r="D34" s="5"/>
      <c r="E34" s="5"/>
    </row>
    <row r="35" spans="1:5" ht="16.5" customHeight="1">
      <c r="A35" s="5"/>
      <c r="B35" s="5"/>
      <c r="C35" s="5"/>
      <c r="D35" s="5"/>
      <c r="E35" s="5"/>
    </row>
    <row r="36" spans="1:5" ht="16.5" customHeight="1">
      <c r="A36" s="5"/>
      <c r="B36" s="5"/>
      <c r="C36" s="5"/>
      <c r="D36" s="5"/>
      <c r="E36" s="5"/>
    </row>
    <row r="37" spans="1:5" ht="16.5" customHeight="1">
      <c r="A37" s="5"/>
      <c r="B37" s="5"/>
      <c r="C37" s="5"/>
      <c r="D37" s="5"/>
      <c r="E37" s="5"/>
    </row>
    <row r="38" spans="1:5" ht="16.5" customHeight="1">
      <c r="A38" s="5"/>
      <c r="B38" s="5"/>
      <c r="C38" s="5"/>
      <c r="D38" s="5"/>
      <c r="E38" s="5"/>
    </row>
    <row r="39" spans="1:5" ht="16.5" customHeight="1">
      <c r="A39" s="5"/>
      <c r="B39" s="5"/>
      <c r="C39" s="5"/>
      <c r="D39" s="5"/>
      <c r="E39" s="5"/>
    </row>
    <row r="40" spans="1:5" ht="16.5" customHeight="1">
      <c r="A40" s="5"/>
      <c r="B40" s="5"/>
      <c r="C40" s="5"/>
      <c r="D40" s="5"/>
      <c r="E40" s="5"/>
    </row>
    <row r="41" spans="1:5" ht="16.5" customHeight="1">
      <c r="A41" s="5"/>
      <c r="B41" s="5"/>
      <c r="C41" s="5"/>
      <c r="D41" s="5"/>
      <c r="E41" s="5"/>
    </row>
    <row r="42" spans="1:5" ht="16.5" customHeight="1">
      <c r="A42" s="5"/>
      <c r="B42" s="5"/>
      <c r="C42" s="5"/>
      <c r="D42" s="5"/>
      <c r="E42" s="5"/>
    </row>
    <row r="43" spans="1:5" ht="16.5" customHeight="1">
      <c r="A43" s="5"/>
      <c r="B43" s="5"/>
      <c r="C43" s="5"/>
      <c r="D43" s="5"/>
      <c r="E43" s="5"/>
    </row>
    <row r="44" spans="1:5" ht="16.5" customHeight="1">
      <c r="A44" s="5"/>
      <c r="B44" s="5"/>
      <c r="C44" s="5"/>
      <c r="D44" s="5"/>
      <c r="E44" s="5"/>
    </row>
    <row r="45" spans="1:5" ht="16.5" customHeight="1">
      <c r="A45" s="5"/>
      <c r="B45" s="5"/>
      <c r="C45" s="5"/>
      <c r="D45" s="5"/>
      <c r="E45" s="5"/>
    </row>
    <row r="46" spans="1:5" ht="16.5" customHeight="1">
      <c r="A46" s="5"/>
      <c r="B46" s="5"/>
      <c r="C46" s="5"/>
      <c r="D46" s="5"/>
      <c r="E46" s="5"/>
    </row>
    <row r="47" spans="1:5" ht="16.5" customHeight="1">
      <c r="A47" s="5"/>
      <c r="B47" s="5"/>
      <c r="C47" s="5"/>
      <c r="D47" s="5"/>
      <c r="E47" s="5"/>
    </row>
    <row r="48" spans="1:5" ht="16.5" customHeight="1">
      <c r="A48" s="5"/>
      <c r="B48" s="5"/>
      <c r="C48" s="5"/>
      <c r="D48" s="5"/>
      <c r="E48" s="5"/>
    </row>
    <row r="49" spans="1:5" ht="16.5" customHeight="1">
      <c r="A49" s="5"/>
      <c r="B49" s="5"/>
      <c r="C49" s="5"/>
      <c r="D49" s="5"/>
      <c r="E49" s="5"/>
    </row>
    <row r="50" spans="1:5" ht="16.5" customHeight="1">
      <c r="A50" s="5"/>
      <c r="B50" s="5"/>
      <c r="C50" s="5"/>
      <c r="D50" s="5"/>
      <c r="E50" s="5"/>
    </row>
    <row r="51" spans="1:5" ht="16.5" customHeight="1">
      <c r="A51" s="5"/>
      <c r="B51" s="5"/>
      <c r="C51" s="5"/>
      <c r="D51" s="5"/>
      <c r="E51" s="5"/>
    </row>
    <row r="52" spans="1:5" ht="16.5" customHeight="1">
      <c r="A52" s="5"/>
      <c r="B52" s="5"/>
      <c r="C52" s="5"/>
      <c r="D52" s="5"/>
      <c r="E52" s="5"/>
    </row>
    <row r="53" spans="1:5" ht="16.5" customHeight="1">
      <c r="A53" s="5"/>
      <c r="B53" s="5"/>
      <c r="C53" s="5"/>
      <c r="D53" s="5"/>
      <c r="E53" s="5"/>
    </row>
    <row r="54" spans="1:5" ht="16.5" customHeight="1">
      <c r="A54" s="5"/>
      <c r="B54" s="5"/>
      <c r="C54" s="5"/>
      <c r="D54" s="5"/>
      <c r="E54" s="5"/>
    </row>
    <row r="55" spans="1:5" ht="16.5" customHeight="1">
      <c r="A55" s="5"/>
      <c r="B55" s="5"/>
      <c r="C55" s="5"/>
      <c r="D55" s="5"/>
      <c r="E55" s="5"/>
    </row>
    <row r="56" spans="1:5" ht="16.5" customHeight="1">
      <c r="A56" s="5"/>
      <c r="B56" s="5"/>
      <c r="C56" s="5"/>
      <c r="D56" s="5"/>
      <c r="E56" s="5"/>
    </row>
    <row r="57" spans="1:5" ht="16.5" customHeight="1">
      <c r="A57" s="5"/>
      <c r="B57" s="5"/>
      <c r="C57" s="5"/>
      <c r="D57" s="5"/>
      <c r="E57" s="5"/>
    </row>
    <row r="58" spans="1:5" ht="16.5" customHeight="1">
      <c r="A58" s="5"/>
      <c r="B58" s="5"/>
      <c r="C58" s="5"/>
      <c r="D58" s="5"/>
      <c r="E58" s="5"/>
    </row>
    <row r="59" spans="1:5" ht="16.5" customHeight="1">
      <c r="A59" s="5"/>
      <c r="B59" s="5"/>
      <c r="C59" s="5"/>
      <c r="D59" s="5"/>
      <c r="E59" s="5"/>
    </row>
    <row r="60" spans="1:5" ht="16.5" customHeight="1">
      <c r="A60" s="5"/>
      <c r="B60" s="5"/>
      <c r="C60" s="5"/>
      <c r="D60" s="5"/>
      <c r="E60" s="5"/>
    </row>
    <row r="61" spans="1:5" ht="16.5" customHeight="1">
      <c r="A61" s="5"/>
      <c r="B61" s="5"/>
      <c r="C61" s="5"/>
      <c r="D61" s="5"/>
      <c r="E61" s="5"/>
    </row>
    <row r="62" spans="1:5" ht="16.5" customHeight="1">
      <c r="A62" s="5"/>
      <c r="B62" s="5"/>
      <c r="C62" s="5"/>
      <c r="D62" s="5"/>
      <c r="E62" s="5"/>
    </row>
    <row r="63" spans="1:5" ht="16.5" customHeight="1">
      <c r="A63" s="5"/>
      <c r="B63" s="5"/>
      <c r="C63" s="5"/>
      <c r="D63" s="5"/>
      <c r="E63" s="5"/>
    </row>
    <row r="64" spans="1:5" ht="16.5" customHeight="1">
      <c r="A64" s="5"/>
      <c r="B64" s="5"/>
      <c r="C64" s="5"/>
      <c r="D64" s="5"/>
      <c r="E64" s="5"/>
    </row>
    <row r="65" spans="1:5" ht="16.5" customHeight="1">
      <c r="A65" s="5"/>
      <c r="B65" s="5"/>
      <c r="C65" s="5"/>
      <c r="D65" s="5"/>
      <c r="E65" s="5"/>
    </row>
    <row r="66" spans="1:5" ht="16.5" customHeight="1">
      <c r="A66" s="5"/>
      <c r="B66" s="5"/>
      <c r="C66" s="5"/>
      <c r="D66" s="5"/>
      <c r="E66" s="5"/>
    </row>
    <row r="67" spans="1:5" ht="16.5" customHeight="1">
      <c r="A67" s="5"/>
      <c r="B67" s="5"/>
      <c r="C67" s="5"/>
      <c r="D67" s="5"/>
      <c r="E67" s="5"/>
    </row>
    <row r="68" spans="1:5" ht="16.5" customHeight="1">
      <c r="A68" s="5"/>
      <c r="B68" s="5"/>
      <c r="C68" s="5"/>
      <c r="D68" s="5"/>
      <c r="E68" s="5"/>
    </row>
    <row r="69" spans="1:5" ht="16.5" customHeight="1">
      <c r="A69" s="5"/>
      <c r="B69" s="5"/>
      <c r="C69" s="5"/>
      <c r="D69" s="5"/>
      <c r="E69" s="5"/>
    </row>
    <row r="70" spans="1:5" ht="16.5" customHeight="1">
      <c r="A70" s="5"/>
      <c r="B70" s="5"/>
      <c r="C70" s="5"/>
      <c r="D70" s="5"/>
      <c r="E70" s="5"/>
    </row>
    <row r="71" spans="1:5" ht="16.5" customHeight="1">
      <c r="A71" s="5"/>
      <c r="B71" s="5"/>
      <c r="C71" s="5"/>
      <c r="D71" s="5"/>
      <c r="E71" s="5"/>
    </row>
    <row r="72" spans="1:5" ht="16.5" customHeight="1">
      <c r="A72" s="5"/>
      <c r="B72" s="5"/>
      <c r="C72" s="5"/>
      <c r="D72" s="5"/>
      <c r="E72" s="5"/>
    </row>
    <row r="73" spans="1:5" ht="16.5" customHeight="1">
      <c r="A73" s="5"/>
      <c r="B73" s="5"/>
      <c r="C73" s="5"/>
      <c r="D73" s="5"/>
      <c r="E73" s="5"/>
    </row>
    <row r="74" spans="1:5" ht="16.5" customHeight="1">
      <c r="A74" s="5"/>
      <c r="B74" s="5"/>
      <c r="C74" s="5"/>
      <c r="D74" s="5"/>
      <c r="E74" s="5"/>
    </row>
    <row r="75" spans="1:5" ht="16.5" customHeight="1">
      <c r="A75" s="5"/>
      <c r="B75" s="5"/>
      <c r="C75" s="5"/>
      <c r="D75" s="5"/>
      <c r="E75" s="5"/>
    </row>
    <row r="76" spans="1:5" ht="16.5" customHeight="1">
      <c r="A76" s="5"/>
      <c r="B76" s="5"/>
      <c r="C76" s="5"/>
      <c r="D76" s="5"/>
      <c r="E76" s="5"/>
    </row>
    <row r="77" spans="1:5" ht="16.5" customHeight="1">
      <c r="A77" s="5"/>
      <c r="B77" s="5"/>
      <c r="C77" s="5"/>
      <c r="D77" s="5"/>
      <c r="E77" s="5"/>
    </row>
    <row r="78" spans="1:5" ht="16.5" customHeight="1">
      <c r="A78" s="5"/>
      <c r="B78" s="5"/>
      <c r="C78" s="5"/>
      <c r="D78" s="5"/>
      <c r="E78" s="5"/>
    </row>
    <row r="79" spans="1:5" ht="16.5" customHeight="1">
      <c r="A79" s="5"/>
      <c r="B79" s="5"/>
      <c r="C79" s="5"/>
      <c r="D79" s="5"/>
      <c r="E79" s="5"/>
    </row>
    <row r="80" spans="1:5" ht="16.5" customHeight="1">
      <c r="A80" s="5"/>
      <c r="B80" s="5"/>
      <c r="C80" s="5"/>
      <c r="D80" s="5"/>
      <c r="E80" s="5"/>
    </row>
    <row r="81" spans="1:5" ht="16.5" customHeight="1">
      <c r="A81" s="5"/>
      <c r="B81" s="5"/>
      <c r="C81" s="5"/>
      <c r="D81" s="5"/>
      <c r="E81" s="5"/>
    </row>
    <row r="82" spans="1:5" ht="16.5" customHeight="1">
      <c r="A82" s="5"/>
      <c r="B82" s="5"/>
      <c r="C82" s="5"/>
      <c r="D82" s="5"/>
      <c r="E82" s="5"/>
    </row>
    <row r="83" spans="1:5" ht="16.5" customHeight="1">
      <c r="A83" s="5"/>
      <c r="B83" s="5"/>
      <c r="C83" s="5"/>
      <c r="D83" s="5"/>
      <c r="E83" s="5"/>
    </row>
    <row r="84" spans="1:5" ht="16.5" customHeight="1">
      <c r="A84" s="5"/>
      <c r="B84" s="5"/>
      <c r="C84" s="5"/>
      <c r="D84" s="5"/>
      <c r="E84" s="5"/>
    </row>
    <row r="85" spans="1:5" ht="16.5" customHeight="1">
      <c r="A85" s="5"/>
      <c r="B85" s="5"/>
      <c r="C85" s="5"/>
      <c r="D85" s="5"/>
      <c r="E85" s="5"/>
    </row>
    <row r="86" spans="1:5" ht="16.5" customHeight="1">
      <c r="A86" s="5"/>
      <c r="B86" s="5"/>
      <c r="C86" s="5"/>
      <c r="D86" s="5"/>
      <c r="E86" s="5"/>
    </row>
    <row r="87" spans="1:5" ht="16.5" customHeight="1">
      <c r="A87" s="5"/>
      <c r="B87" s="5"/>
      <c r="C87" s="5"/>
      <c r="D87" s="5"/>
      <c r="E87" s="5"/>
    </row>
    <row r="88" spans="1:5" ht="16.5" customHeight="1">
      <c r="A88" s="5"/>
      <c r="B88" s="5"/>
      <c r="C88" s="5"/>
      <c r="D88" s="5"/>
      <c r="E88" s="5"/>
    </row>
    <row r="89" spans="1:5" ht="16.5" customHeight="1">
      <c r="A89" s="5"/>
      <c r="B89" s="5"/>
      <c r="C89" s="5"/>
      <c r="D89" s="5"/>
      <c r="E89" s="5"/>
    </row>
    <row r="90" spans="1:5" ht="16.5" customHeight="1">
      <c r="A90" s="5"/>
      <c r="B90" s="5"/>
      <c r="C90" s="5"/>
      <c r="D90" s="5"/>
      <c r="E90" s="5"/>
    </row>
    <row r="91" spans="1:5" ht="16.5" customHeight="1">
      <c r="A91" s="5"/>
      <c r="B91" s="5"/>
      <c r="C91" s="5"/>
      <c r="D91" s="5"/>
      <c r="E91" s="5"/>
    </row>
    <row r="92" spans="1:5" ht="16.5" customHeight="1">
      <c r="A92" s="5"/>
      <c r="B92" s="5"/>
      <c r="C92" s="5"/>
      <c r="D92" s="5"/>
      <c r="E92" s="5"/>
    </row>
    <row r="93" spans="1:5" ht="16.5" customHeight="1">
      <c r="A93" s="5"/>
      <c r="B93" s="5"/>
      <c r="C93" s="5"/>
      <c r="D93" s="5"/>
      <c r="E93" s="5"/>
    </row>
    <row r="94" spans="1:5" ht="16.5" customHeight="1">
      <c r="A94" s="5"/>
      <c r="B94" s="5"/>
      <c r="C94" s="5"/>
      <c r="D94" s="5"/>
      <c r="E94" s="5"/>
    </row>
    <row r="95" spans="1:5" ht="16.5" customHeight="1">
      <c r="A95" s="5"/>
      <c r="B95" s="5"/>
      <c r="C95" s="5"/>
      <c r="D95" s="5"/>
      <c r="E95" s="5"/>
    </row>
    <row r="96" spans="1:5" ht="16.5" customHeight="1">
      <c r="A96" s="5"/>
      <c r="B96" s="5"/>
      <c r="C96" s="5"/>
      <c r="D96" s="5"/>
      <c r="E96" s="5"/>
    </row>
    <row r="97" spans="1:5" ht="16.5" customHeight="1">
      <c r="A97" s="5"/>
      <c r="B97" s="5"/>
      <c r="C97" s="5"/>
      <c r="D97" s="5"/>
      <c r="E97" s="5"/>
    </row>
    <row r="98" spans="1:5" ht="16.5" customHeight="1">
      <c r="A98" s="5"/>
      <c r="B98" s="5"/>
      <c r="C98" s="5"/>
      <c r="D98" s="5"/>
      <c r="E98" s="5"/>
    </row>
    <row r="99" spans="1:5" ht="16.5" customHeight="1">
      <c r="A99" s="5"/>
      <c r="B99" s="5"/>
      <c r="C99" s="5"/>
      <c r="D99" s="5"/>
      <c r="E99" s="5"/>
    </row>
    <row r="100" spans="1:5" ht="16.5" customHeight="1">
      <c r="A100" s="5"/>
      <c r="B100" s="5"/>
      <c r="C100" s="5"/>
      <c r="D100" s="5"/>
      <c r="E100" s="5"/>
    </row>
    <row r="101" spans="1:5" ht="16.5" customHeight="1">
      <c r="A101" s="5"/>
      <c r="B101" s="5"/>
      <c r="C101" s="5"/>
      <c r="D101" s="5"/>
      <c r="E101" s="5"/>
    </row>
    <row r="102" spans="1:5" ht="16.5" customHeight="1">
      <c r="A102" s="5"/>
      <c r="B102" s="5"/>
      <c r="C102" s="5"/>
      <c r="D102" s="5"/>
      <c r="E102" s="5"/>
    </row>
    <row r="103" spans="1:5" ht="16.5" customHeight="1">
      <c r="A103" s="5"/>
      <c r="B103" s="5"/>
      <c r="C103" s="5"/>
      <c r="D103" s="5"/>
      <c r="E103" s="5"/>
    </row>
    <row r="104" spans="1:5" ht="16.5" customHeight="1">
      <c r="A104" s="5"/>
      <c r="B104" s="5"/>
      <c r="C104" s="5"/>
      <c r="D104" s="5"/>
      <c r="E104" s="5"/>
    </row>
    <row r="105" spans="1:5" ht="16.5" customHeight="1">
      <c r="A105" s="5"/>
      <c r="B105" s="5"/>
      <c r="C105" s="5"/>
      <c r="D105" s="5"/>
      <c r="E105" s="5"/>
    </row>
    <row r="106" spans="1:5" ht="16.5" customHeight="1">
      <c r="A106" s="5"/>
      <c r="B106" s="5"/>
      <c r="C106" s="5"/>
      <c r="D106" s="5"/>
      <c r="E106" s="5"/>
    </row>
    <row r="107" spans="1:5" ht="16.5" customHeight="1">
      <c r="A107" s="5"/>
      <c r="B107" s="5"/>
      <c r="C107" s="5"/>
      <c r="D107" s="5"/>
      <c r="E107" s="5"/>
    </row>
    <row r="108" spans="1:5" ht="16.5" customHeight="1">
      <c r="A108" s="5"/>
      <c r="B108" s="5"/>
      <c r="C108" s="5"/>
      <c r="D108" s="5"/>
      <c r="E108" s="5"/>
    </row>
    <row r="109" spans="1:5" ht="16.5" customHeight="1">
      <c r="A109" s="5"/>
      <c r="B109" s="5"/>
      <c r="C109" s="5"/>
      <c r="D109" s="5"/>
      <c r="E109" s="5"/>
    </row>
    <row r="110" spans="1:5" ht="16.5" customHeight="1">
      <c r="A110" s="5"/>
      <c r="B110" s="5"/>
      <c r="C110" s="5"/>
      <c r="D110" s="5"/>
      <c r="E110" s="5"/>
    </row>
    <row r="111" spans="1:5" ht="16.5" customHeight="1">
      <c r="A111" s="5"/>
      <c r="B111" s="5"/>
      <c r="C111" s="5"/>
      <c r="D111" s="5"/>
      <c r="E111" s="5"/>
    </row>
    <row r="112" spans="1:5" ht="16.5" customHeight="1">
      <c r="A112" s="5"/>
      <c r="B112" s="5"/>
      <c r="C112" s="5"/>
      <c r="D112" s="5"/>
      <c r="E112" s="5"/>
    </row>
    <row r="113" spans="1:5" ht="16.5" customHeight="1">
      <c r="A113" s="5"/>
      <c r="B113" s="5"/>
      <c r="C113" s="5"/>
      <c r="D113" s="5"/>
      <c r="E113" s="5"/>
    </row>
    <row r="114" spans="1:5" ht="16.5" customHeight="1">
      <c r="A114" s="5"/>
      <c r="B114" s="5"/>
      <c r="C114" s="5"/>
      <c r="D114" s="5"/>
      <c r="E114" s="5"/>
    </row>
    <row r="115" spans="1:5" ht="16.5" customHeight="1">
      <c r="A115" s="5"/>
      <c r="B115" s="5"/>
      <c r="C115" s="5"/>
      <c r="D115" s="5"/>
      <c r="E115" s="5"/>
    </row>
    <row r="116" spans="1:5" ht="16.5" customHeight="1">
      <c r="A116" s="5"/>
      <c r="B116" s="5"/>
      <c r="C116" s="5"/>
      <c r="D116" s="5"/>
      <c r="E116" s="5"/>
    </row>
    <row r="117" spans="1:5" ht="16.5" customHeight="1">
      <c r="A117" s="5"/>
      <c r="B117" s="5"/>
      <c r="C117" s="5"/>
      <c r="D117" s="5"/>
      <c r="E117" s="5"/>
    </row>
    <row r="118" spans="1:5" ht="16.5" customHeight="1">
      <c r="A118" s="5"/>
      <c r="B118" s="5"/>
      <c r="C118" s="5"/>
      <c r="D118" s="5"/>
      <c r="E118" s="5"/>
    </row>
    <row r="119" spans="1:5" ht="16.5" customHeight="1">
      <c r="A119" s="5"/>
      <c r="B119" s="5"/>
      <c r="C119" s="5"/>
      <c r="D119" s="5"/>
      <c r="E119" s="5"/>
    </row>
    <row r="120" spans="1:5" ht="16.5" customHeight="1">
      <c r="A120" s="5"/>
      <c r="B120" s="5"/>
      <c r="C120" s="5"/>
      <c r="D120" s="5"/>
      <c r="E120" s="5"/>
    </row>
    <row r="121" spans="1:5" ht="16.5" customHeight="1">
      <c r="A121" s="5"/>
      <c r="B121" s="5"/>
      <c r="C121" s="5"/>
      <c r="D121" s="5"/>
      <c r="E121" s="5"/>
    </row>
    <row r="122" spans="1:5" ht="16.5" customHeight="1">
      <c r="A122" s="5"/>
      <c r="B122" s="5"/>
      <c r="C122" s="5"/>
      <c r="D122" s="5"/>
      <c r="E122" s="5"/>
    </row>
    <row r="123" spans="1:5" ht="16.5" customHeight="1">
      <c r="A123" s="5"/>
      <c r="B123" s="5"/>
      <c r="C123" s="5"/>
      <c r="D123" s="5"/>
      <c r="E123" s="5"/>
    </row>
    <row r="124" spans="1:5" ht="16.5" customHeight="1">
      <c r="A124" s="5"/>
      <c r="B124" s="5"/>
      <c r="C124" s="5"/>
      <c r="D124" s="5"/>
      <c r="E124" s="5"/>
    </row>
    <row r="125" spans="1:5" ht="16.5" customHeight="1">
      <c r="A125" s="5"/>
      <c r="B125" s="5"/>
      <c r="C125" s="5"/>
      <c r="D125" s="5"/>
      <c r="E125" s="5"/>
    </row>
    <row r="126" spans="1:5" ht="16.5" customHeight="1">
      <c r="A126" s="5"/>
      <c r="B126" s="5"/>
      <c r="C126" s="5"/>
      <c r="D126" s="5"/>
      <c r="E126" s="5"/>
    </row>
    <row r="127" spans="1:5" ht="16.5" customHeight="1">
      <c r="A127" s="5"/>
      <c r="B127" s="5"/>
      <c r="C127" s="5"/>
      <c r="D127" s="5"/>
      <c r="E127" s="5"/>
    </row>
    <row r="128" spans="1:5" ht="16.5" customHeight="1">
      <c r="A128" s="5"/>
      <c r="B128" s="5"/>
      <c r="C128" s="5"/>
      <c r="D128" s="5"/>
      <c r="E128" s="5"/>
    </row>
    <row r="129" spans="1:5" ht="16.5" customHeight="1">
      <c r="A129" s="5"/>
      <c r="B129" s="5"/>
      <c r="C129" s="5"/>
      <c r="D129" s="5"/>
      <c r="E129" s="5"/>
    </row>
    <row r="130" spans="1:5" ht="16.5" customHeight="1">
      <c r="A130" s="5"/>
      <c r="B130" s="5"/>
      <c r="C130" s="5"/>
      <c r="D130" s="5"/>
      <c r="E130" s="5"/>
    </row>
    <row r="131" spans="1:5" ht="16.5" customHeight="1">
      <c r="A131" s="5"/>
      <c r="B131" s="5"/>
      <c r="C131" s="5"/>
      <c r="D131" s="5"/>
      <c r="E131" s="5"/>
    </row>
    <row r="132" spans="1:5" ht="16.5" customHeight="1">
      <c r="A132" s="5"/>
      <c r="B132" s="5"/>
      <c r="C132" s="5"/>
      <c r="D132" s="5"/>
      <c r="E132" s="5"/>
    </row>
    <row r="133" spans="1:5" ht="16.5" customHeight="1">
      <c r="A133" s="5"/>
      <c r="B133" s="5"/>
      <c r="C133" s="5"/>
      <c r="D133" s="5"/>
      <c r="E133" s="5"/>
    </row>
    <row r="134" spans="1:5" ht="16.5" customHeight="1">
      <c r="A134" s="5"/>
      <c r="B134" s="5"/>
      <c r="C134" s="5"/>
      <c r="D134" s="5"/>
      <c r="E134" s="5"/>
    </row>
    <row r="135" spans="1:5" ht="16.5" customHeight="1">
      <c r="A135" s="5"/>
      <c r="B135" s="5"/>
      <c r="C135" s="5"/>
      <c r="D135" s="5"/>
      <c r="E135" s="5"/>
    </row>
    <row r="136" spans="1:5" ht="16.5" customHeight="1">
      <c r="A136" s="5"/>
      <c r="B136" s="5"/>
      <c r="C136" s="5"/>
      <c r="D136" s="5"/>
      <c r="E136" s="5"/>
    </row>
    <row r="137" spans="1:5" ht="16.5" customHeight="1">
      <c r="A137" s="5"/>
      <c r="B137" s="5"/>
      <c r="C137" s="5"/>
      <c r="D137" s="5"/>
      <c r="E137" s="5"/>
    </row>
    <row r="138" spans="1:5" ht="16.5" customHeight="1">
      <c r="A138" s="5"/>
      <c r="B138" s="5"/>
      <c r="C138" s="5"/>
      <c r="D138" s="5"/>
      <c r="E138" s="5"/>
    </row>
    <row r="139" spans="1:5" ht="16.5" customHeight="1">
      <c r="A139" s="5"/>
      <c r="B139" s="5"/>
      <c r="C139" s="5"/>
      <c r="D139" s="5"/>
      <c r="E139" s="5"/>
    </row>
    <row r="140" spans="1:5" ht="16.5" customHeight="1">
      <c r="A140" s="5"/>
      <c r="B140" s="5"/>
      <c r="C140" s="5"/>
      <c r="D140" s="5"/>
      <c r="E140" s="5"/>
    </row>
    <row r="141" spans="1:5" ht="16.5" customHeight="1">
      <c r="A141" s="5"/>
      <c r="B141" s="5"/>
      <c r="C141" s="5"/>
      <c r="D141" s="5"/>
      <c r="E141" s="5"/>
    </row>
    <row r="142" spans="1:5" ht="16.5" customHeight="1">
      <c r="A142" s="5"/>
      <c r="B142" s="5"/>
      <c r="C142" s="5"/>
      <c r="D142" s="5"/>
      <c r="E142" s="5"/>
    </row>
    <row r="143" spans="1:5" ht="16.5" customHeight="1">
      <c r="A143" s="5"/>
      <c r="B143" s="5"/>
      <c r="C143" s="5"/>
      <c r="D143" s="5"/>
      <c r="E143" s="5"/>
    </row>
    <row r="144" spans="1:5" ht="16.5" customHeight="1">
      <c r="A144" s="5"/>
      <c r="B144" s="5"/>
      <c r="C144" s="5"/>
      <c r="D144" s="5"/>
      <c r="E144" s="5"/>
    </row>
    <row r="145" spans="1:5" ht="16.5" customHeight="1">
      <c r="A145" s="5"/>
      <c r="B145" s="5"/>
      <c r="C145" s="5"/>
      <c r="D145" s="5"/>
      <c r="E145" s="5"/>
    </row>
    <row r="146" spans="1:5" ht="16.5" customHeight="1">
      <c r="A146" s="5"/>
      <c r="B146" s="5"/>
      <c r="C146" s="5"/>
      <c r="D146" s="5"/>
      <c r="E146" s="5"/>
    </row>
    <row r="147" spans="1:5" ht="16.5" customHeight="1">
      <c r="A147" s="5"/>
      <c r="B147" s="5"/>
      <c r="C147" s="5"/>
      <c r="D147" s="5"/>
      <c r="E147" s="5"/>
    </row>
    <row r="148" spans="1:5" ht="16.5" customHeight="1">
      <c r="A148" s="5"/>
      <c r="B148" s="5"/>
      <c r="C148" s="5"/>
      <c r="D148" s="5"/>
      <c r="E148" s="5"/>
    </row>
    <row r="149" spans="1:5" ht="16.5" customHeight="1">
      <c r="A149" s="5"/>
      <c r="B149" s="5"/>
      <c r="C149" s="5"/>
      <c r="D149" s="5"/>
      <c r="E149" s="5"/>
    </row>
    <row r="150" spans="1:5" ht="16.5" customHeight="1">
      <c r="A150" s="5"/>
      <c r="B150" s="5"/>
      <c r="C150" s="5"/>
      <c r="D150" s="5"/>
      <c r="E150" s="5"/>
    </row>
    <row r="151" spans="1:5" ht="16.5" customHeight="1">
      <c r="A151" s="5"/>
      <c r="B151" s="5"/>
      <c r="C151" s="5"/>
      <c r="D151" s="5"/>
      <c r="E151" s="5"/>
    </row>
    <row r="152" spans="1:5" ht="16.5" customHeight="1">
      <c r="A152" s="5"/>
      <c r="B152" s="5"/>
      <c r="C152" s="5"/>
      <c r="D152" s="5"/>
      <c r="E152" s="5"/>
    </row>
    <row r="153" spans="1:5" ht="16.5" customHeight="1">
      <c r="A153" s="5"/>
      <c r="B153" s="5"/>
      <c r="C153" s="5"/>
      <c r="D153" s="5"/>
      <c r="E153" s="5"/>
    </row>
    <row r="154" spans="1:5" ht="16.5" customHeight="1">
      <c r="A154" s="5"/>
      <c r="B154" s="5"/>
      <c r="C154" s="5"/>
      <c r="D154" s="5"/>
      <c r="E154" s="5"/>
    </row>
    <row r="155" spans="1:5" ht="16.5" customHeight="1">
      <c r="A155" s="5"/>
      <c r="B155" s="5"/>
      <c r="C155" s="5"/>
      <c r="D155" s="5"/>
      <c r="E155" s="5"/>
    </row>
    <row r="156" spans="1:5" ht="16.5" customHeight="1">
      <c r="A156" s="5"/>
      <c r="B156" s="5"/>
      <c r="C156" s="5"/>
      <c r="D156" s="5"/>
      <c r="E156" s="5"/>
    </row>
    <row r="157" spans="1:5" ht="16.5" customHeight="1">
      <c r="A157" s="5"/>
      <c r="B157" s="5"/>
      <c r="C157" s="5"/>
      <c r="D157" s="5"/>
      <c r="E157" s="5"/>
    </row>
    <row r="158" spans="1:5" ht="16.5" customHeight="1">
      <c r="A158" s="5"/>
      <c r="B158" s="5"/>
      <c r="C158" s="5"/>
      <c r="D158" s="5"/>
      <c r="E158" s="5"/>
    </row>
    <row r="159" spans="1:5" ht="16.5" customHeight="1">
      <c r="A159" s="5"/>
      <c r="B159" s="5"/>
      <c r="C159" s="5"/>
      <c r="D159" s="5"/>
      <c r="E159" s="5"/>
    </row>
    <row r="160" spans="1:5" ht="16.5" customHeight="1">
      <c r="A160" s="5"/>
      <c r="B160" s="5"/>
      <c r="C160" s="5"/>
      <c r="D160" s="5"/>
      <c r="E160" s="5"/>
    </row>
    <row r="161" spans="1:5" ht="16.5" customHeight="1">
      <c r="A161" s="5"/>
      <c r="B161" s="5"/>
      <c r="C161" s="5"/>
      <c r="D161" s="5"/>
      <c r="E161" s="5"/>
    </row>
    <row r="162" spans="1:5" ht="16.5" customHeight="1">
      <c r="A162" s="5"/>
      <c r="B162" s="5"/>
      <c r="C162" s="5"/>
      <c r="D162" s="5"/>
      <c r="E162" s="5"/>
    </row>
    <row r="163" spans="1:5" ht="16.5" customHeight="1">
      <c r="A163" s="5"/>
      <c r="B163" s="5"/>
      <c r="C163" s="5"/>
      <c r="D163" s="5"/>
      <c r="E163" s="5"/>
    </row>
    <row r="164" spans="1:5" ht="16.5" customHeight="1">
      <c r="A164" s="5"/>
      <c r="B164" s="5"/>
      <c r="C164" s="5"/>
      <c r="D164" s="5"/>
      <c r="E164" s="5"/>
    </row>
    <row r="165" spans="1:5" ht="16.5" customHeight="1">
      <c r="A165" s="5"/>
      <c r="B165" s="5"/>
      <c r="C165" s="5"/>
      <c r="D165" s="5"/>
      <c r="E165" s="5"/>
    </row>
    <row r="166" spans="1:5" ht="16.5" customHeight="1">
      <c r="A166" s="5"/>
      <c r="B166" s="5"/>
      <c r="C166" s="5"/>
      <c r="D166" s="5"/>
      <c r="E166" s="5"/>
    </row>
    <row r="167" spans="1:5" ht="16.5" customHeight="1">
      <c r="A167" s="5"/>
      <c r="B167" s="5"/>
      <c r="C167" s="5"/>
      <c r="D167" s="5"/>
      <c r="E167" s="5"/>
    </row>
    <row r="168" spans="1:5" ht="16.5" customHeight="1">
      <c r="A168" s="5"/>
      <c r="B168" s="5"/>
      <c r="C168" s="5"/>
      <c r="D168" s="5"/>
      <c r="E168" s="5"/>
    </row>
    <row r="169" spans="1:5" ht="16.5" customHeight="1">
      <c r="A169" s="5"/>
      <c r="B169" s="5"/>
      <c r="C169" s="5"/>
      <c r="D169" s="5"/>
      <c r="E169" s="5"/>
    </row>
    <row r="170" spans="1:5" ht="16.5" customHeight="1">
      <c r="A170" s="5"/>
      <c r="B170" s="5"/>
      <c r="C170" s="5"/>
      <c r="D170" s="5"/>
      <c r="E170" s="5"/>
    </row>
    <row r="171" spans="1:5" ht="16.5" customHeight="1">
      <c r="A171" s="5"/>
      <c r="B171" s="5"/>
      <c r="C171" s="5"/>
      <c r="D171" s="5"/>
      <c r="E171" s="5"/>
    </row>
    <row r="172" spans="1:5" ht="16.5" customHeight="1">
      <c r="A172" s="5"/>
      <c r="B172" s="5"/>
      <c r="C172" s="5"/>
      <c r="D172" s="5"/>
      <c r="E172" s="5"/>
    </row>
    <row r="173" spans="1:5" ht="16.5" customHeight="1">
      <c r="A173" s="5"/>
      <c r="B173" s="5"/>
      <c r="C173" s="5"/>
      <c r="D173" s="5"/>
      <c r="E173" s="5"/>
    </row>
    <row r="174" spans="1:5" ht="16.5" customHeight="1">
      <c r="A174" s="5"/>
      <c r="B174" s="5"/>
      <c r="C174" s="5"/>
      <c r="D174" s="5"/>
      <c r="E174" s="5"/>
    </row>
    <row r="175" spans="1:5" ht="16.5" customHeight="1">
      <c r="A175" s="5"/>
      <c r="B175" s="5"/>
      <c r="C175" s="5"/>
      <c r="D175" s="5"/>
      <c r="E175" s="5"/>
    </row>
    <row r="176" spans="1:5" ht="16.5" customHeight="1">
      <c r="A176" s="5"/>
      <c r="B176" s="5"/>
      <c r="C176" s="5"/>
      <c r="D176" s="5"/>
      <c r="E176" s="5"/>
    </row>
    <row r="177" spans="1:5" ht="16.5" customHeight="1">
      <c r="A177" s="5"/>
      <c r="B177" s="5"/>
      <c r="C177" s="5"/>
      <c r="D177" s="5"/>
      <c r="E177" s="5"/>
    </row>
    <row r="178" spans="1:5" ht="16.5" customHeight="1">
      <c r="A178" s="5"/>
      <c r="B178" s="5"/>
      <c r="C178" s="5"/>
      <c r="D178" s="5"/>
      <c r="E178" s="5"/>
    </row>
    <row r="179" spans="1:5" ht="16.5" customHeight="1">
      <c r="A179" s="5"/>
      <c r="B179" s="5"/>
      <c r="C179" s="5"/>
      <c r="D179" s="5"/>
      <c r="E179" s="5"/>
    </row>
    <row r="180" spans="1:5" ht="16.5" customHeight="1">
      <c r="A180" s="5"/>
      <c r="B180" s="5"/>
      <c r="C180" s="5"/>
      <c r="D180" s="5"/>
      <c r="E180" s="5"/>
    </row>
    <row r="181" spans="1:5" ht="16.5" customHeight="1">
      <c r="A181" s="5"/>
      <c r="B181" s="5"/>
      <c r="C181" s="5"/>
      <c r="D181" s="5"/>
      <c r="E181" s="5"/>
    </row>
    <row r="182" spans="1:5" ht="16.5" customHeight="1">
      <c r="A182" s="5"/>
      <c r="B182" s="5"/>
      <c r="C182" s="5"/>
      <c r="D182" s="5"/>
      <c r="E182" s="5"/>
    </row>
    <row r="183" spans="1:5" ht="16.5" customHeight="1">
      <c r="A183" s="5"/>
      <c r="B183" s="5"/>
      <c r="C183" s="5"/>
      <c r="D183" s="5"/>
      <c r="E183" s="5"/>
    </row>
    <row r="184" spans="1:5" ht="16.5" customHeight="1">
      <c r="A184" s="5"/>
      <c r="B184" s="5"/>
      <c r="C184" s="5"/>
      <c r="D184" s="5"/>
      <c r="E184" s="5"/>
    </row>
    <row r="185" spans="1:5" ht="16.5" customHeight="1">
      <c r="A185" s="5"/>
      <c r="B185" s="5"/>
      <c r="C185" s="5"/>
      <c r="D185" s="5"/>
      <c r="E185" s="5"/>
    </row>
    <row r="186" spans="1:5" ht="16.5" customHeight="1">
      <c r="A186" s="5"/>
      <c r="B186" s="5"/>
      <c r="C186" s="5"/>
      <c r="D186" s="5"/>
      <c r="E186" s="5"/>
    </row>
    <row r="187" spans="1:5" ht="16.5" customHeight="1">
      <c r="A187" s="5"/>
      <c r="B187" s="5"/>
      <c r="C187" s="5"/>
      <c r="D187" s="5"/>
      <c r="E187" s="5"/>
    </row>
    <row r="188" spans="1:5" ht="16.5" customHeight="1">
      <c r="A188" s="5"/>
      <c r="B188" s="5"/>
      <c r="C188" s="5"/>
      <c r="D188" s="5"/>
      <c r="E188" s="5"/>
    </row>
    <row r="189" spans="1:5" ht="16.5" customHeight="1">
      <c r="A189" s="5"/>
      <c r="B189" s="5"/>
      <c r="C189" s="5"/>
      <c r="D189" s="5"/>
      <c r="E189" s="5"/>
    </row>
    <row r="190" spans="1:5" ht="16.5" customHeight="1">
      <c r="A190" s="5"/>
      <c r="B190" s="5"/>
      <c r="C190" s="5"/>
      <c r="D190" s="5"/>
      <c r="E190" s="5"/>
    </row>
    <row r="191" spans="1:5" ht="16.5" customHeight="1">
      <c r="A191" s="5"/>
      <c r="B191" s="5"/>
      <c r="C191" s="5"/>
      <c r="D191" s="5"/>
      <c r="E191" s="5"/>
    </row>
    <row r="192" spans="1:5" ht="16.5" customHeight="1">
      <c r="A192" s="5"/>
      <c r="B192" s="5"/>
      <c r="C192" s="5"/>
      <c r="D192" s="5"/>
      <c r="E192" s="5"/>
    </row>
    <row r="193" spans="1:5" ht="16.5" customHeight="1">
      <c r="A193" s="5"/>
      <c r="B193" s="5"/>
      <c r="C193" s="5"/>
      <c r="D193" s="5"/>
      <c r="E193" s="5"/>
    </row>
    <row r="194" spans="1:5" ht="16.5" customHeight="1">
      <c r="A194" s="5"/>
      <c r="B194" s="5"/>
      <c r="C194" s="5"/>
      <c r="D194" s="5"/>
      <c r="E194" s="5"/>
    </row>
    <row r="195" spans="1:5" ht="16.5" customHeight="1">
      <c r="A195" s="5"/>
      <c r="B195" s="5"/>
      <c r="C195" s="5"/>
      <c r="D195" s="5"/>
      <c r="E195" s="5"/>
    </row>
    <row r="196" spans="1:5" ht="16.5" customHeight="1">
      <c r="A196" s="5"/>
      <c r="B196" s="5"/>
      <c r="C196" s="5"/>
      <c r="D196" s="5"/>
      <c r="E196" s="5"/>
    </row>
    <row r="197" spans="1:5" ht="16.5" customHeight="1">
      <c r="A197" s="5"/>
      <c r="B197" s="5"/>
      <c r="C197" s="5"/>
      <c r="D197" s="5"/>
      <c r="E197" s="5"/>
    </row>
    <row r="198" spans="1:5" ht="16.5" customHeight="1">
      <c r="A198" s="5"/>
      <c r="B198" s="5"/>
      <c r="C198" s="5"/>
      <c r="D198" s="5"/>
      <c r="E198" s="5"/>
    </row>
    <row r="199" spans="1:5" ht="16.5" customHeight="1">
      <c r="A199" s="5"/>
      <c r="B199" s="5"/>
      <c r="C199" s="5"/>
      <c r="D199" s="5"/>
      <c r="E199" s="5"/>
    </row>
    <row r="200" spans="1:5" ht="16.5" customHeight="1">
      <c r="A200" s="5"/>
      <c r="B200" s="5"/>
      <c r="C200" s="5"/>
      <c r="D200" s="5"/>
      <c r="E200" s="5"/>
    </row>
    <row r="201" spans="1:5" ht="16.5" customHeight="1">
      <c r="A201" s="5"/>
      <c r="B201" s="5"/>
      <c r="C201" s="5"/>
      <c r="D201" s="5"/>
      <c r="E201" s="5"/>
    </row>
    <row r="202" spans="1:5" ht="16.5" customHeight="1">
      <c r="A202" s="5"/>
      <c r="B202" s="5"/>
      <c r="C202" s="5"/>
      <c r="D202" s="5"/>
      <c r="E202" s="5"/>
    </row>
    <row r="203" spans="1:5" ht="16.5" customHeight="1">
      <c r="A203" s="5"/>
      <c r="B203" s="5"/>
      <c r="C203" s="5"/>
      <c r="D203" s="5"/>
      <c r="E203" s="5"/>
    </row>
    <row r="204" spans="1:5" ht="16.5" customHeight="1">
      <c r="A204" s="5"/>
      <c r="B204" s="5"/>
      <c r="C204" s="5"/>
      <c r="D204" s="5"/>
      <c r="E204" s="5"/>
    </row>
    <row r="205" spans="1:5" ht="16.5" customHeight="1">
      <c r="A205" s="5"/>
      <c r="B205" s="5"/>
      <c r="C205" s="5"/>
      <c r="D205" s="5"/>
      <c r="E205" s="5"/>
    </row>
    <row r="206" spans="1:5" ht="16.5" customHeight="1">
      <c r="A206" s="5"/>
      <c r="B206" s="5"/>
      <c r="C206" s="5"/>
      <c r="D206" s="5"/>
      <c r="E206" s="5"/>
    </row>
    <row r="207" spans="1:5" ht="16.5" customHeight="1">
      <c r="A207" s="5"/>
      <c r="B207" s="5"/>
      <c r="C207" s="5"/>
      <c r="D207" s="5"/>
      <c r="E207" s="5"/>
    </row>
    <row r="208" spans="1:5" ht="16.5" customHeight="1">
      <c r="A208" s="5"/>
      <c r="B208" s="5"/>
      <c r="C208" s="5"/>
      <c r="D208" s="5"/>
      <c r="E208" s="5"/>
    </row>
    <row r="209" spans="1:5" ht="16.5" customHeight="1">
      <c r="A209" s="5"/>
      <c r="B209" s="5"/>
      <c r="C209" s="5"/>
      <c r="D209" s="5"/>
      <c r="E209" s="5"/>
    </row>
    <row r="210" spans="1:5" ht="16.5" customHeight="1">
      <c r="A210" s="5"/>
      <c r="B210" s="5"/>
      <c r="C210" s="5"/>
      <c r="D210" s="5"/>
      <c r="E210" s="5"/>
    </row>
    <row r="211" spans="1:5" ht="16.5" customHeight="1">
      <c r="A211" s="5"/>
      <c r="B211" s="5"/>
      <c r="C211" s="5"/>
      <c r="D211" s="5"/>
      <c r="E211" s="5"/>
    </row>
    <row r="212" spans="1:5" ht="16.5" customHeight="1">
      <c r="A212" s="5"/>
      <c r="B212" s="5"/>
      <c r="C212" s="5"/>
      <c r="D212" s="5"/>
      <c r="E212" s="5"/>
    </row>
    <row r="213" spans="1:5" ht="16.5" customHeight="1">
      <c r="A213" s="5"/>
      <c r="B213" s="5"/>
      <c r="C213" s="5"/>
      <c r="D213" s="5"/>
      <c r="E213" s="5"/>
    </row>
    <row r="214" spans="1:5" ht="16.5" customHeight="1">
      <c r="A214" s="5"/>
      <c r="B214" s="5"/>
      <c r="C214" s="5"/>
      <c r="D214" s="5"/>
      <c r="E214" s="5"/>
    </row>
    <row r="215" spans="1:5" ht="16.5" customHeight="1">
      <c r="A215" s="5"/>
      <c r="B215" s="5"/>
      <c r="C215" s="5"/>
      <c r="D215" s="5"/>
      <c r="E215" s="5"/>
    </row>
    <row r="216" spans="1:5" ht="16.5" customHeight="1">
      <c r="A216" s="5"/>
      <c r="B216" s="5"/>
      <c r="C216" s="5"/>
      <c r="D216" s="5"/>
      <c r="E216" s="5"/>
    </row>
    <row r="217" spans="1:5" ht="16.5" customHeight="1">
      <c r="A217" s="5"/>
      <c r="B217" s="5"/>
      <c r="C217" s="5"/>
      <c r="D217" s="5"/>
      <c r="E217" s="5"/>
    </row>
    <row r="218" spans="1:5" ht="16.5" customHeight="1">
      <c r="A218" s="5"/>
      <c r="B218" s="5"/>
      <c r="C218" s="5"/>
      <c r="D218" s="5"/>
      <c r="E218" s="5"/>
    </row>
    <row r="219" spans="1:5" ht="16.5" customHeight="1">
      <c r="A219" s="5"/>
      <c r="B219" s="5"/>
      <c r="C219" s="5"/>
      <c r="D219" s="5"/>
      <c r="E219" s="5"/>
    </row>
    <row r="220" spans="1:5" ht="16.5" customHeight="1">
      <c r="A220" s="5"/>
      <c r="B220" s="5"/>
      <c r="C220" s="5"/>
      <c r="D220" s="5"/>
      <c r="E220" s="5"/>
    </row>
    <row r="221" spans="1:5" ht="16.5" customHeight="1">
      <c r="A221" s="5"/>
      <c r="B221" s="5"/>
      <c r="C221" s="5"/>
      <c r="D221" s="5"/>
      <c r="E221" s="5"/>
    </row>
    <row r="222" spans="1:5" ht="16.5" customHeight="1">
      <c r="A222" s="5"/>
      <c r="B222" s="5"/>
      <c r="C222" s="5"/>
      <c r="D222" s="5"/>
      <c r="E222" s="5"/>
    </row>
    <row r="223" spans="1:5" ht="16.5" customHeight="1">
      <c r="A223" s="5"/>
      <c r="B223" s="5"/>
      <c r="C223" s="5"/>
      <c r="D223" s="5"/>
      <c r="E223" s="5"/>
    </row>
    <row r="224" spans="1:5" ht="16.5" customHeight="1">
      <c r="A224" s="5"/>
      <c r="B224" s="5"/>
      <c r="C224" s="5"/>
      <c r="D224" s="5"/>
      <c r="E224" s="5"/>
    </row>
    <row r="225" spans="1:5" ht="16.5" customHeight="1">
      <c r="A225" s="5"/>
      <c r="B225" s="5"/>
      <c r="C225" s="5"/>
      <c r="D225" s="5"/>
      <c r="E225" s="5"/>
    </row>
    <row r="226" spans="1:5" ht="16.5" customHeight="1">
      <c r="A226" s="5"/>
      <c r="B226" s="5"/>
      <c r="C226" s="5"/>
      <c r="D226" s="5"/>
      <c r="E226" s="5"/>
    </row>
    <row r="227" spans="1:5" ht="16.5" customHeight="1">
      <c r="A227" s="5"/>
      <c r="B227" s="5"/>
      <c r="C227" s="5"/>
      <c r="D227" s="5"/>
      <c r="E227" s="5"/>
    </row>
    <row r="228" spans="1:5" ht="16.5" customHeight="1">
      <c r="A228" s="5"/>
      <c r="B228" s="5"/>
      <c r="C228" s="5"/>
      <c r="D228" s="5"/>
      <c r="E228" s="5"/>
    </row>
    <row r="229" spans="1:5" ht="16.5" customHeight="1">
      <c r="A229" s="5"/>
      <c r="B229" s="5"/>
      <c r="C229" s="5"/>
      <c r="D229" s="5"/>
      <c r="E229" s="5"/>
    </row>
    <row r="230" spans="1:5" ht="16.5" customHeight="1">
      <c r="A230" s="5"/>
      <c r="B230" s="5"/>
      <c r="C230" s="5"/>
      <c r="D230" s="5"/>
      <c r="E230" s="5"/>
    </row>
    <row r="231" spans="1:5" ht="16.5" customHeight="1">
      <c r="A231" s="5"/>
      <c r="B231" s="5"/>
      <c r="C231" s="5"/>
      <c r="D231" s="5"/>
      <c r="E231" s="5"/>
    </row>
    <row r="232" spans="1:5" ht="16.5" customHeight="1">
      <c r="A232" s="5"/>
      <c r="B232" s="5"/>
      <c r="C232" s="5"/>
      <c r="D232" s="5"/>
      <c r="E232" s="5"/>
    </row>
    <row r="233" spans="1:5" ht="16.5" customHeight="1">
      <c r="A233" s="5"/>
      <c r="B233" s="5"/>
      <c r="C233" s="5"/>
      <c r="D233" s="5"/>
      <c r="E233" s="5"/>
    </row>
    <row r="234" spans="1:5" ht="16.5" customHeight="1">
      <c r="A234" s="5"/>
      <c r="B234" s="5"/>
      <c r="C234" s="5"/>
      <c r="D234" s="5"/>
      <c r="E234" s="5"/>
    </row>
    <row r="235" spans="1:5" ht="16.5" customHeight="1">
      <c r="A235" s="5"/>
      <c r="B235" s="5"/>
      <c r="C235" s="5"/>
      <c r="D235" s="5"/>
      <c r="E235" s="5"/>
    </row>
    <row r="236" spans="1:5" ht="16.5" customHeight="1">
      <c r="A236" s="5"/>
      <c r="B236" s="5"/>
      <c r="C236" s="5"/>
      <c r="D236" s="5"/>
      <c r="E236" s="5"/>
    </row>
    <row r="237" spans="1:5" ht="16.5" customHeight="1">
      <c r="A237" s="5"/>
      <c r="B237" s="5"/>
      <c r="C237" s="5"/>
      <c r="D237" s="5"/>
      <c r="E237" s="5"/>
    </row>
    <row r="238" spans="1:5" ht="16.5" customHeight="1">
      <c r="A238" s="5"/>
      <c r="B238" s="5"/>
      <c r="C238" s="5"/>
      <c r="D238" s="5"/>
      <c r="E238" s="5"/>
    </row>
    <row r="239" spans="1:5" ht="16.5" customHeight="1">
      <c r="A239" s="5"/>
      <c r="B239" s="5"/>
      <c r="C239" s="5"/>
      <c r="D239" s="5"/>
      <c r="E239" s="5"/>
    </row>
    <row r="240" spans="1:5" ht="16.5" customHeight="1">
      <c r="A240" s="5"/>
      <c r="B240" s="5"/>
      <c r="C240" s="5"/>
      <c r="D240" s="5"/>
      <c r="E240" s="5"/>
    </row>
    <row r="241" spans="1:5" ht="16.5" customHeight="1">
      <c r="A241" s="5"/>
      <c r="B241" s="5"/>
      <c r="C241" s="5"/>
      <c r="D241" s="5"/>
      <c r="E241" s="5"/>
    </row>
    <row r="242" spans="1:5" ht="16.5" customHeight="1">
      <c r="A242" s="5"/>
      <c r="B242" s="5"/>
      <c r="C242" s="5"/>
      <c r="D242" s="5"/>
      <c r="E242" s="5"/>
    </row>
    <row r="243" spans="1:5" ht="16.5" customHeight="1">
      <c r="A243" s="5"/>
      <c r="B243" s="5"/>
      <c r="C243" s="5"/>
      <c r="D243" s="5"/>
      <c r="E243" s="5"/>
    </row>
    <row r="244" spans="1:5" ht="16.5" customHeight="1">
      <c r="A244" s="5"/>
      <c r="B244" s="5"/>
      <c r="C244" s="5"/>
      <c r="D244" s="5"/>
      <c r="E244" s="5"/>
    </row>
    <row r="245" spans="1:5" ht="16.5" customHeight="1">
      <c r="A245" s="5"/>
      <c r="B245" s="5"/>
      <c r="C245" s="5"/>
      <c r="D245" s="5"/>
      <c r="E245" s="5"/>
    </row>
    <row r="246" spans="1:5" ht="16.5" customHeight="1">
      <c r="A246" s="5"/>
      <c r="B246" s="5"/>
      <c r="C246" s="5"/>
      <c r="D246" s="5"/>
      <c r="E246" s="5"/>
    </row>
    <row r="247" spans="1:5" ht="16.5" customHeight="1">
      <c r="A247" s="5"/>
      <c r="B247" s="5"/>
      <c r="C247" s="5"/>
      <c r="D247" s="5"/>
      <c r="E247" s="5"/>
    </row>
    <row r="248" spans="1:5" ht="16.5" customHeight="1">
      <c r="A248" s="5"/>
      <c r="B248" s="5"/>
      <c r="C248" s="5"/>
      <c r="D248" s="5"/>
      <c r="E248" s="5"/>
    </row>
    <row r="249" spans="1:5" ht="16.5" customHeight="1">
      <c r="A249" s="5"/>
      <c r="B249" s="5"/>
      <c r="C249" s="5"/>
      <c r="D249" s="5"/>
      <c r="E249" s="5"/>
    </row>
    <row r="250" spans="1:5" ht="16.5" customHeight="1">
      <c r="A250" s="5"/>
      <c r="B250" s="5"/>
      <c r="C250" s="5"/>
      <c r="D250" s="5"/>
      <c r="E250" s="5"/>
    </row>
    <row r="251" spans="1:5" ht="16.5" customHeight="1">
      <c r="A251" s="5"/>
      <c r="B251" s="5"/>
      <c r="C251" s="5"/>
      <c r="D251" s="5"/>
      <c r="E251" s="5"/>
    </row>
    <row r="252" spans="1:5" ht="16.5" customHeight="1">
      <c r="A252" s="5"/>
      <c r="B252" s="5"/>
      <c r="C252" s="5"/>
      <c r="D252" s="5"/>
      <c r="E252" s="5"/>
    </row>
    <row r="253" spans="1:5" ht="16.5" customHeight="1">
      <c r="A253" s="5"/>
      <c r="B253" s="5"/>
      <c r="C253" s="5"/>
      <c r="D253" s="5"/>
      <c r="E253" s="5"/>
    </row>
    <row r="254" spans="1:5" ht="16.5" customHeight="1">
      <c r="A254" s="5"/>
      <c r="B254" s="5"/>
      <c r="C254" s="5"/>
      <c r="D254" s="5"/>
      <c r="E254" s="5"/>
    </row>
    <row r="255" spans="1:5" ht="16.5" customHeight="1">
      <c r="A255" s="5"/>
      <c r="B255" s="5"/>
      <c r="C255" s="5"/>
      <c r="D255" s="5"/>
      <c r="E255" s="5"/>
    </row>
    <row r="256" spans="1:5" ht="16.5" customHeight="1">
      <c r="A256" s="5"/>
      <c r="B256" s="5"/>
      <c r="C256" s="5"/>
      <c r="D256" s="5"/>
      <c r="E256" s="5"/>
    </row>
    <row r="257" spans="1:5" ht="16.5" customHeight="1">
      <c r="A257" s="5"/>
      <c r="B257" s="5"/>
      <c r="C257" s="5"/>
      <c r="D257" s="5"/>
      <c r="E257" s="5"/>
    </row>
    <row r="258" spans="1:5" ht="16.5" customHeight="1">
      <c r="A258" s="5"/>
      <c r="B258" s="5"/>
      <c r="C258" s="5"/>
      <c r="D258" s="5"/>
      <c r="E258" s="5"/>
    </row>
    <row r="259" spans="1:5" ht="16.5" customHeight="1">
      <c r="A259" s="5"/>
      <c r="B259" s="5"/>
      <c r="C259" s="5"/>
      <c r="D259" s="5"/>
      <c r="E259" s="5"/>
    </row>
    <row r="260" spans="1:5" ht="16.5" customHeight="1">
      <c r="A260" s="5"/>
      <c r="B260" s="5"/>
      <c r="C260" s="5"/>
      <c r="D260" s="5"/>
      <c r="E260" s="5"/>
    </row>
    <row r="261" spans="1:5" ht="16.5" customHeight="1">
      <c r="A261" s="5"/>
      <c r="B261" s="5"/>
      <c r="C261" s="5"/>
      <c r="D261" s="5"/>
      <c r="E261" s="5"/>
    </row>
    <row r="262" spans="1:5" ht="16.5" customHeight="1">
      <c r="A262" s="5"/>
      <c r="B262" s="5"/>
      <c r="C262" s="5"/>
      <c r="D262" s="5"/>
      <c r="E262" s="5"/>
    </row>
    <row r="263" spans="1:5" ht="16.5" customHeight="1">
      <c r="A263" s="5"/>
      <c r="B263" s="5"/>
      <c r="C263" s="5"/>
      <c r="D263" s="5"/>
      <c r="E263" s="5"/>
    </row>
    <row r="264" spans="1:5" ht="16.5" customHeight="1">
      <c r="A264" s="5"/>
      <c r="B264" s="5"/>
      <c r="C264" s="5"/>
      <c r="D264" s="5"/>
      <c r="E264" s="5"/>
    </row>
    <row r="265" spans="1:5" ht="16.5" customHeight="1">
      <c r="A265" s="5"/>
      <c r="B265" s="5"/>
      <c r="C265" s="5"/>
      <c r="D265" s="5"/>
      <c r="E265" s="5"/>
    </row>
    <row r="266" spans="1:5" ht="16.5" customHeight="1">
      <c r="A266" s="5"/>
      <c r="B266" s="5"/>
      <c r="C266" s="5"/>
      <c r="D266" s="5"/>
      <c r="E266" s="5"/>
    </row>
    <row r="267" spans="1:5" ht="16.5" customHeight="1">
      <c r="A267" s="5"/>
      <c r="B267" s="5"/>
      <c r="C267" s="5"/>
      <c r="D267" s="5"/>
      <c r="E267" s="5"/>
    </row>
    <row r="268" spans="1:5" ht="16.5" customHeight="1">
      <c r="A268" s="5"/>
      <c r="B268" s="5"/>
      <c r="C268" s="5"/>
      <c r="D268" s="5"/>
      <c r="E268" s="5"/>
    </row>
    <row r="269" spans="1:5" ht="16.5" customHeight="1">
      <c r="A269" s="5"/>
      <c r="B269" s="5"/>
      <c r="C269" s="5"/>
      <c r="D269" s="5"/>
      <c r="E269" s="5"/>
    </row>
    <row r="270" spans="1:5" ht="16.5" customHeight="1">
      <c r="A270" s="5"/>
      <c r="B270" s="5"/>
      <c r="C270" s="5"/>
      <c r="D270" s="5"/>
      <c r="E270" s="5"/>
    </row>
    <row r="271" spans="1:5" ht="16.5" customHeight="1">
      <c r="A271" s="5"/>
      <c r="B271" s="5"/>
      <c r="C271" s="5"/>
      <c r="D271" s="5"/>
      <c r="E271" s="5"/>
    </row>
    <row r="272" spans="1:5" ht="16.5" customHeight="1">
      <c r="A272" s="5"/>
      <c r="B272" s="5"/>
      <c r="C272" s="5"/>
      <c r="D272" s="5"/>
      <c r="E272" s="5"/>
    </row>
    <row r="273" spans="1:5" ht="16.5" customHeight="1">
      <c r="A273" s="5"/>
      <c r="B273" s="5"/>
      <c r="C273" s="5"/>
      <c r="D273" s="5"/>
      <c r="E273" s="5"/>
    </row>
    <row r="274" spans="1:5" ht="16.5" customHeight="1">
      <c r="A274" s="5"/>
      <c r="B274" s="5"/>
      <c r="C274" s="5"/>
      <c r="D274" s="5"/>
      <c r="E274" s="5"/>
    </row>
    <row r="275" spans="1:5" ht="16.5" customHeight="1">
      <c r="A275" s="5"/>
      <c r="B275" s="5"/>
      <c r="C275" s="5"/>
      <c r="D275" s="5"/>
      <c r="E275" s="5"/>
    </row>
    <row r="276" spans="1:5" ht="16.5" customHeight="1">
      <c r="A276" s="5"/>
      <c r="B276" s="5"/>
      <c r="C276" s="5"/>
      <c r="D276" s="5"/>
      <c r="E276" s="5"/>
    </row>
    <row r="277" spans="1:5" ht="16.5" customHeight="1">
      <c r="A277" s="5"/>
      <c r="B277" s="5"/>
      <c r="C277" s="5"/>
      <c r="D277" s="5"/>
      <c r="E277" s="5"/>
    </row>
    <row r="278" spans="1:5" ht="16.5" customHeight="1">
      <c r="A278" s="5"/>
      <c r="B278" s="5"/>
      <c r="C278" s="5"/>
      <c r="D278" s="5"/>
      <c r="E278" s="5"/>
    </row>
    <row r="279" spans="1:5" ht="16.5" customHeight="1">
      <c r="A279" s="5"/>
      <c r="B279" s="5"/>
      <c r="C279" s="5"/>
      <c r="D279" s="5"/>
      <c r="E279" s="5"/>
    </row>
    <row r="280" spans="1:5" ht="16.5" customHeight="1">
      <c r="A280" s="5"/>
      <c r="B280" s="5"/>
      <c r="C280" s="5"/>
      <c r="D280" s="5"/>
      <c r="E280" s="5"/>
    </row>
    <row r="281" spans="1:5" ht="16.5" customHeight="1">
      <c r="A281" s="5"/>
      <c r="B281" s="5"/>
      <c r="C281" s="5"/>
      <c r="D281" s="5"/>
      <c r="E281" s="5"/>
    </row>
    <row r="282" spans="1:5" ht="16.5" customHeight="1">
      <c r="A282" s="5"/>
      <c r="B282" s="5"/>
      <c r="C282" s="5"/>
      <c r="D282" s="5"/>
      <c r="E282" s="5"/>
    </row>
    <row r="283" spans="1:5" ht="16.5" customHeight="1">
      <c r="A283" s="5"/>
      <c r="B283" s="5"/>
      <c r="C283" s="5"/>
      <c r="D283" s="5"/>
      <c r="E283" s="5"/>
    </row>
    <row r="284" spans="1:5" ht="16.5" customHeight="1">
      <c r="A284" s="5"/>
      <c r="B284" s="5"/>
      <c r="C284" s="5"/>
      <c r="D284" s="5"/>
      <c r="E284" s="5"/>
    </row>
    <row r="285" spans="1:5" ht="16.5" customHeight="1">
      <c r="A285" s="5"/>
      <c r="B285" s="5"/>
      <c r="C285" s="5"/>
      <c r="D285" s="5"/>
      <c r="E285" s="5"/>
    </row>
    <row r="286" spans="1:5" ht="16.5" customHeight="1">
      <c r="A286" s="5"/>
      <c r="B286" s="5"/>
      <c r="C286" s="5"/>
      <c r="D286" s="5"/>
      <c r="E286" s="5"/>
    </row>
    <row r="287" spans="1:5" ht="16.5" customHeight="1">
      <c r="A287" s="5"/>
      <c r="B287" s="5"/>
      <c r="C287" s="5"/>
      <c r="D287" s="5"/>
      <c r="E287" s="5"/>
    </row>
    <row r="288" spans="1:5" ht="16.5" customHeight="1">
      <c r="A288" s="5"/>
      <c r="B288" s="5"/>
      <c r="C288" s="5"/>
      <c r="D288" s="5"/>
      <c r="E288" s="5"/>
    </row>
    <row r="289" spans="1:5" ht="16.5" customHeight="1">
      <c r="A289" s="5"/>
      <c r="B289" s="5"/>
      <c r="C289" s="5"/>
      <c r="D289" s="5"/>
      <c r="E289" s="5"/>
    </row>
    <row r="290" spans="1:5" ht="16.5" customHeight="1">
      <c r="A290" s="5"/>
      <c r="B290" s="5"/>
      <c r="C290" s="5"/>
      <c r="D290" s="5"/>
      <c r="E290" s="5"/>
    </row>
    <row r="291" spans="1:5" ht="16.5" customHeight="1">
      <c r="A291" s="5"/>
      <c r="B291" s="5"/>
      <c r="C291" s="5"/>
      <c r="D291" s="5"/>
      <c r="E291" s="5"/>
    </row>
    <row r="292" spans="1:5" ht="16.5" customHeight="1">
      <c r="A292" s="5"/>
      <c r="B292" s="5"/>
      <c r="C292" s="5"/>
      <c r="D292" s="5"/>
      <c r="E292" s="5"/>
    </row>
    <row r="293" spans="1:5" ht="16.5" customHeight="1">
      <c r="A293" s="5"/>
      <c r="B293" s="5"/>
      <c r="C293" s="5"/>
      <c r="D293" s="5"/>
      <c r="E293" s="5"/>
    </row>
    <row r="294" spans="1:5" ht="16.5" customHeight="1">
      <c r="A294" s="5"/>
      <c r="B294" s="5"/>
      <c r="C294" s="5"/>
      <c r="D294" s="5"/>
      <c r="E294" s="5"/>
    </row>
    <row r="295" spans="1:5" ht="16.5" customHeight="1">
      <c r="A295" s="5"/>
      <c r="B295" s="5"/>
      <c r="C295" s="5"/>
      <c r="D295" s="5"/>
      <c r="E295" s="5"/>
    </row>
    <row r="296" spans="1:5" ht="16.5" customHeight="1">
      <c r="A296" s="5"/>
      <c r="B296" s="5"/>
      <c r="C296" s="5"/>
      <c r="D296" s="5"/>
      <c r="E296" s="5"/>
    </row>
    <row r="297" spans="1:5" ht="16.5" customHeight="1">
      <c r="A297" s="5"/>
      <c r="B297" s="5"/>
      <c r="C297" s="5"/>
      <c r="D297" s="5"/>
      <c r="E297" s="5"/>
    </row>
    <row r="298" spans="1:5" ht="16.5" customHeight="1">
      <c r="A298" s="5"/>
      <c r="B298" s="5"/>
      <c r="C298" s="5"/>
      <c r="D298" s="5"/>
      <c r="E298" s="5"/>
    </row>
    <row r="299" spans="1:5" ht="16.5" customHeight="1">
      <c r="A299" s="5"/>
      <c r="B299" s="5"/>
      <c r="C299" s="5"/>
      <c r="D299" s="5"/>
      <c r="E299" s="5"/>
    </row>
    <row r="300" spans="1:5" ht="16.5" customHeight="1">
      <c r="A300" s="5"/>
      <c r="B300" s="5"/>
      <c r="C300" s="5"/>
      <c r="D300" s="5"/>
      <c r="E300" s="5"/>
    </row>
    <row r="301" spans="1:5" ht="16.5" customHeight="1">
      <c r="A301" s="5"/>
      <c r="B301" s="5"/>
      <c r="C301" s="5"/>
      <c r="D301" s="5"/>
      <c r="E301" s="5"/>
    </row>
    <row r="302" spans="1:5" ht="16.5" customHeight="1">
      <c r="A302" s="5"/>
      <c r="B302" s="5"/>
      <c r="C302" s="5"/>
      <c r="D302" s="5"/>
      <c r="E302" s="5"/>
    </row>
    <row r="303" spans="1:5" ht="16.5" customHeight="1">
      <c r="A303" s="5"/>
      <c r="B303" s="5"/>
      <c r="C303" s="5"/>
      <c r="D303" s="5"/>
      <c r="E303" s="5"/>
    </row>
    <row r="304" spans="1:5" ht="16.5" customHeight="1">
      <c r="A304" s="5"/>
      <c r="B304" s="5"/>
      <c r="C304" s="5"/>
      <c r="D304" s="5"/>
      <c r="E304" s="5"/>
    </row>
    <row r="305" spans="1:5" ht="16.5" customHeight="1">
      <c r="A305" s="5"/>
      <c r="B305" s="5"/>
      <c r="C305" s="5"/>
      <c r="D305" s="5"/>
      <c r="E305" s="5"/>
    </row>
    <row r="306" spans="1:5" ht="16.5" customHeight="1">
      <c r="A306" s="5"/>
      <c r="B306" s="5"/>
      <c r="C306" s="5"/>
      <c r="D306" s="5"/>
      <c r="E306" s="5"/>
    </row>
    <row r="307" spans="1:5" ht="16.5" customHeight="1">
      <c r="A307" s="5"/>
      <c r="B307" s="5"/>
      <c r="C307" s="5"/>
      <c r="D307" s="5"/>
      <c r="E307" s="5"/>
    </row>
    <row r="308" spans="1:5" ht="16.5" customHeight="1">
      <c r="A308" s="5"/>
      <c r="B308" s="5"/>
      <c r="C308" s="5"/>
      <c r="D308" s="5"/>
      <c r="E308" s="5"/>
    </row>
    <row r="309" spans="1:5" ht="16.5" customHeight="1">
      <c r="A309" s="5"/>
      <c r="B309" s="5"/>
      <c r="C309" s="5"/>
      <c r="D309" s="5"/>
      <c r="E309" s="5"/>
    </row>
    <row r="310" spans="1:5" ht="16.5" customHeight="1">
      <c r="A310" s="5"/>
      <c r="B310" s="5"/>
      <c r="C310" s="5"/>
      <c r="D310" s="5"/>
      <c r="E310" s="5"/>
    </row>
    <row r="311" spans="1:5" ht="16.5" customHeight="1">
      <c r="A311" s="5"/>
      <c r="B311" s="5"/>
      <c r="C311" s="5"/>
      <c r="D311" s="5"/>
      <c r="E311" s="5"/>
    </row>
    <row r="312" spans="1:5" ht="16.5" customHeight="1">
      <c r="A312" s="5"/>
      <c r="B312" s="5"/>
      <c r="C312" s="5"/>
      <c r="D312" s="5"/>
      <c r="E312" s="5"/>
    </row>
    <row r="313" spans="1:5" ht="16.5" customHeight="1">
      <c r="A313" s="5"/>
      <c r="B313" s="5"/>
      <c r="C313" s="5"/>
      <c r="D313" s="5"/>
      <c r="E313" s="5"/>
    </row>
    <row r="314" spans="1:5" ht="16.5" customHeight="1">
      <c r="A314" s="5"/>
      <c r="B314" s="5"/>
      <c r="C314" s="5"/>
      <c r="D314" s="5"/>
      <c r="E314" s="5"/>
    </row>
    <row r="315" spans="1:5" ht="16.5" customHeight="1">
      <c r="A315" s="5"/>
      <c r="B315" s="5"/>
      <c r="C315" s="5"/>
      <c r="D315" s="5"/>
      <c r="E315" s="5"/>
    </row>
    <row r="316" spans="1:5" ht="16.5" customHeight="1">
      <c r="A316" s="5"/>
      <c r="B316" s="5"/>
      <c r="C316" s="5"/>
      <c r="D316" s="5"/>
      <c r="E316" s="5"/>
    </row>
    <row r="317" spans="1:5" ht="16.5" customHeight="1">
      <c r="A317" s="5"/>
      <c r="B317" s="5"/>
      <c r="C317" s="5"/>
      <c r="D317" s="5"/>
      <c r="E317" s="5"/>
    </row>
    <row r="318" spans="1:5" ht="16.5" customHeight="1">
      <c r="A318" s="5"/>
      <c r="B318" s="5"/>
      <c r="C318" s="5"/>
      <c r="D318" s="5"/>
      <c r="E318" s="5"/>
    </row>
    <row r="319" spans="1:5" ht="16.5" customHeight="1">
      <c r="A319" s="5"/>
      <c r="B319" s="5"/>
      <c r="C319" s="5"/>
      <c r="D319" s="5"/>
      <c r="E319" s="5"/>
    </row>
    <row r="320" spans="1:5" ht="16.5" customHeight="1">
      <c r="A320" s="5"/>
      <c r="B320" s="5"/>
      <c r="C320" s="5"/>
      <c r="D320" s="5"/>
      <c r="E320" s="5"/>
    </row>
    <row r="321" spans="1:5" ht="16.5" customHeight="1">
      <c r="A321" s="5"/>
      <c r="B321" s="5"/>
      <c r="C321" s="5"/>
      <c r="D321" s="5"/>
      <c r="E321" s="5"/>
    </row>
    <row r="322" spans="1:5" ht="16.5" customHeight="1">
      <c r="A322" s="5"/>
      <c r="B322" s="5"/>
      <c r="C322" s="5"/>
      <c r="D322" s="5"/>
      <c r="E322" s="5"/>
    </row>
    <row r="323" spans="1:5" ht="16.5" customHeight="1">
      <c r="A323" s="5"/>
      <c r="B323" s="5"/>
      <c r="C323" s="5"/>
      <c r="D323" s="5"/>
      <c r="E323" s="5"/>
    </row>
    <row r="324" spans="1:5" ht="16.5" customHeight="1">
      <c r="A324" s="5"/>
      <c r="B324" s="5"/>
      <c r="C324" s="5"/>
      <c r="D324" s="5"/>
      <c r="E324" s="5"/>
    </row>
    <row r="325" spans="1:5" ht="16.5" customHeight="1">
      <c r="A325" s="5"/>
      <c r="B325" s="5"/>
      <c r="C325" s="5"/>
      <c r="D325" s="5"/>
      <c r="E325" s="5"/>
    </row>
    <row r="326" spans="1:5" ht="16.5" customHeight="1">
      <c r="A326" s="5"/>
      <c r="B326" s="5"/>
      <c r="C326" s="5"/>
      <c r="D326" s="5"/>
      <c r="E326" s="5"/>
    </row>
    <row r="327" spans="1:5" ht="16.5" customHeight="1">
      <c r="A327" s="5"/>
      <c r="B327" s="5"/>
      <c r="C327" s="5"/>
      <c r="D327" s="5"/>
      <c r="E327" s="5"/>
    </row>
    <row r="328" spans="1:5" ht="16.5" customHeight="1">
      <c r="A328" s="5"/>
      <c r="B328" s="5"/>
      <c r="C328" s="5"/>
      <c r="D328" s="5"/>
      <c r="E328" s="5"/>
    </row>
    <row r="329" spans="1:5" ht="16.5" customHeight="1">
      <c r="A329" s="5"/>
      <c r="B329" s="5"/>
      <c r="C329" s="5"/>
      <c r="D329" s="5"/>
      <c r="E329" s="5"/>
    </row>
    <row r="330" spans="1:5" ht="16.5" customHeight="1">
      <c r="A330" s="5"/>
      <c r="B330" s="5"/>
      <c r="C330" s="5"/>
      <c r="D330" s="5"/>
      <c r="E330" s="5"/>
    </row>
    <row r="331" spans="1:5" ht="16.5" customHeight="1">
      <c r="A331" s="5"/>
      <c r="B331" s="5"/>
      <c r="C331" s="5"/>
      <c r="D331" s="5"/>
      <c r="E331" s="5"/>
    </row>
    <row r="332" spans="1:5" ht="16.5" customHeight="1">
      <c r="A332" s="5"/>
      <c r="B332" s="5"/>
      <c r="C332" s="5"/>
      <c r="D332" s="5"/>
      <c r="E332" s="5"/>
    </row>
    <row r="333" spans="1:5" ht="16.5" customHeight="1">
      <c r="A333" s="5"/>
      <c r="B333" s="5"/>
      <c r="C333" s="5"/>
      <c r="D333" s="5"/>
      <c r="E333" s="5"/>
    </row>
    <row r="334" spans="1:5" ht="16.5" customHeight="1">
      <c r="A334" s="5"/>
      <c r="B334" s="5"/>
      <c r="C334" s="5"/>
      <c r="D334" s="5"/>
      <c r="E334" s="5"/>
    </row>
    <row r="335" spans="1:5" ht="16.5" customHeight="1">
      <c r="A335" s="5"/>
      <c r="B335" s="5"/>
      <c r="C335" s="5"/>
      <c r="D335" s="5"/>
      <c r="E335" s="5"/>
    </row>
    <row r="336" spans="1:5" ht="16.5" customHeight="1">
      <c r="A336" s="5"/>
      <c r="B336" s="5"/>
      <c r="C336" s="5"/>
      <c r="D336" s="5"/>
      <c r="E336" s="5"/>
    </row>
    <row r="337" spans="1:5" ht="16.5" customHeight="1">
      <c r="A337" s="5"/>
      <c r="B337" s="5"/>
      <c r="C337" s="5"/>
      <c r="D337" s="5"/>
      <c r="E337" s="5"/>
    </row>
    <row r="338" spans="1:5" ht="16.5" customHeight="1">
      <c r="A338" s="5"/>
      <c r="B338" s="5"/>
      <c r="C338" s="5"/>
      <c r="D338" s="5"/>
      <c r="E338" s="5"/>
    </row>
    <row r="339" spans="1:5" ht="16.5" customHeight="1">
      <c r="A339" s="5"/>
      <c r="B339" s="5"/>
      <c r="C339" s="5"/>
      <c r="D339" s="5"/>
      <c r="E339" s="5"/>
    </row>
    <row r="340" spans="1:5" ht="16.5" customHeight="1">
      <c r="A340" s="5"/>
      <c r="B340" s="5"/>
      <c r="C340" s="5"/>
      <c r="D340" s="5"/>
      <c r="E340" s="5"/>
    </row>
    <row r="341" spans="1:5" ht="16.5" customHeight="1">
      <c r="A341" s="5"/>
      <c r="B341" s="5"/>
      <c r="C341" s="5"/>
      <c r="D341" s="5"/>
      <c r="E341" s="5"/>
    </row>
    <row r="342" spans="1:5" ht="16.5" customHeight="1">
      <c r="A342" s="5"/>
      <c r="B342" s="5"/>
      <c r="C342" s="5"/>
      <c r="D342" s="5"/>
      <c r="E342" s="5"/>
    </row>
    <row r="343" spans="1:5" ht="16.5" customHeight="1">
      <c r="A343" s="5"/>
      <c r="B343" s="5"/>
      <c r="C343" s="5"/>
      <c r="D343" s="5"/>
      <c r="E343" s="5"/>
    </row>
    <row r="344" spans="1:5" ht="16.5" customHeight="1">
      <c r="A344" s="5"/>
      <c r="B344" s="5"/>
      <c r="C344" s="5"/>
      <c r="D344" s="5"/>
      <c r="E344" s="5"/>
    </row>
    <row r="345" spans="1:5" ht="16.5" customHeight="1">
      <c r="A345" s="5"/>
      <c r="B345" s="5"/>
      <c r="C345" s="5"/>
      <c r="D345" s="5"/>
      <c r="E345" s="5"/>
    </row>
    <row r="346" spans="1:5" ht="16.5" customHeight="1">
      <c r="A346" s="5"/>
      <c r="B346" s="5"/>
      <c r="C346" s="5"/>
      <c r="D346" s="5"/>
      <c r="E346" s="5"/>
    </row>
    <row r="347" spans="1:5" ht="16.5" customHeight="1">
      <c r="A347" s="5"/>
      <c r="B347" s="5"/>
      <c r="C347" s="5"/>
      <c r="D347" s="5"/>
      <c r="E347" s="5"/>
    </row>
    <row r="348" spans="1:5" ht="16.5" customHeight="1">
      <c r="A348" s="5"/>
      <c r="B348" s="5"/>
      <c r="C348" s="5"/>
      <c r="D348" s="5"/>
      <c r="E348" s="5"/>
    </row>
    <row r="349" spans="1:5" ht="16.5" customHeight="1">
      <c r="A349" s="5"/>
      <c r="B349" s="5"/>
      <c r="C349" s="5"/>
      <c r="D349" s="5"/>
      <c r="E349" s="5"/>
    </row>
    <row r="350" spans="1:5" ht="16.5" customHeight="1">
      <c r="A350" s="5"/>
      <c r="B350" s="5"/>
      <c r="C350" s="5"/>
      <c r="D350" s="5"/>
      <c r="E350" s="5"/>
    </row>
    <row r="351" spans="1:5" ht="16.5" customHeight="1">
      <c r="A351" s="5"/>
      <c r="B351" s="5"/>
      <c r="C351" s="5"/>
      <c r="D351" s="5"/>
      <c r="E351" s="5"/>
    </row>
    <row r="352" spans="1:5" ht="16.5" customHeight="1">
      <c r="A352" s="5"/>
      <c r="B352" s="5"/>
      <c r="C352" s="5"/>
      <c r="D352" s="5"/>
      <c r="E352" s="5"/>
    </row>
    <row r="353" spans="1:5" ht="16.5" customHeight="1">
      <c r="A353" s="5"/>
      <c r="B353" s="5"/>
      <c r="C353" s="5"/>
      <c r="D353" s="5"/>
      <c r="E353" s="5"/>
    </row>
    <row r="354" spans="1:5" ht="16.5" customHeight="1">
      <c r="A354" s="5"/>
      <c r="B354" s="5"/>
      <c r="C354" s="5"/>
      <c r="D354" s="5"/>
      <c r="E354" s="5"/>
    </row>
    <row r="355" spans="1:5" ht="16.5" customHeight="1">
      <c r="A355" s="5"/>
      <c r="B355" s="5"/>
      <c r="C355" s="5"/>
      <c r="D355" s="5"/>
      <c r="E355" s="5"/>
    </row>
    <row r="356" spans="1:5" ht="16.5" customHeight="1">
      <c r="A356" s="5"/>
      <c r="B356" s="5"/>
      <c r="C356" s="5"/>
      <c r="D356" s="5"/>
      <c r="E356" s="5"/>
    </row>
    <row r="357" spans="1:5" ht="16.5" customHeight="1">
      <c r="A357" s="5"/>
      <c r="B357" s="5"/>
      <c r="C357" s="5"/>
      <c r="D357" s="5"/>
      <c r="E357" s="5"/>
    </row>
    <row r="358" spans="1:5" ht="16.5" customHeight="1">
      <c r="A358" s="5"/>
      <c r="B358" s="5"/>
      <c r="C358" s="5"/>
      <c r="D358" s="5"/>
      <c r="E358" s="5"/>
    </row>
    <row r="359" spans="1:5" ht="16.5" customHeight="1">
      <c r="A359" s="5"/>
      <c r="B359" s="5"/>
      <c r="C359" s="5"/>
      <c r="D359" s="5"/>
      <c r="E359" s="5"/>
    </row>
    <row r="360" spans="1:5" ht="16.5" customHeight="1">
      <c r="A360" s="5"/>
      <c r="B360" s="5"/>
      <c r="C360" s="5"/>
      <c r="D360" s="5"/>
      <c r="E360" s="5"/>
    </row>
    <row r="361" spans="1:5" ht="16.5" customHeight="1">
      <c r="A361" s="5"/>
      <c r="B361" s="5"/>
      <c r="C361" s="5"/>
      <c r="D361" s="5"/>
      <c r="E361" s="5"/>
    </row>
    <row r="362" spans="1:5" ht="16.5" customHeight="1">
      <c r="A362" s="5"/>
      <c r="B362" s="5"/>
      <c r="C362" s="5"/>
      <c r="D362" s="5"/>
      <c r="E362" s="5"/>
    </row>
    <row r="363" spans="1:5" ht="16.5" customHeight="1">
      <c r="A363" s="5"/>
      <c r="B363" s="5"/>
      <c r="C363" s="5"/>
      <c r="D363" s="5"/>
      <c r="E363" s="5"/>
    </row>
    <row r="364" spans="1:5" ht="16.5" customHeight="1">
      <c r="A364" s="5"/>
      <c r="B364" s="5"/>
      <c r="C364" s="5"/>
      <c r="D364" s="5"/>
      <c r="E364" s="5"/>
    </row>
    <row r="365" spans="1:5" ht="16.5" customHeight="1">
      <c r="A365" s="5"/>
      <c r="B365" s="5"/>
      <c r="C365" s="5"/>
      <c r="D365" s="5"/>
      <c r="E365" s="5"/>
    </row>
    <row r="366" spans="1:5" ht="16.5" customHeight="1">
      <c r="A366" s="5"/>
      <c r="B366" s="5"/>
      <c r="C366" s="5"/>
      <c r="D366" s="5"/>
      <c r="E366" s="5"/>
    </row>
    <row r="367" spans="1:5" ht="16.5" customHeight="1">
      <c r="A367" s="5"/>
      <c r="B367" s="5"/>
      <c r="C367" s="5"/>
      <c r="D367" s="5"/>
      <c r="E367" s="5"/>
    </row>
    <row r="368" spans="1:5" ht="16.5" customHeight="1">
      <c r="A368" s="5"/>
      <c r="B368" s="5"/>
      <c r="C368" s="5"/>
      <c r="D368" s="5"/>
      <c r="E368" s="5"/>
    </row>
    <row r="369" spans="1:5" ht="16.5" customHeight="1">
      <c r="A369" s="5"/>
      <c r="B369" s="5"/>
      <c r="C369" s="5"/>
      <c r="D369" s="5"/>
      <c r="E369" s="5"/>
    </row>
    <row r="370" spans="1:5" ht="16.5" customHeight="1">
      <c r="A370" s="5"/>
      <c r="B370" s="5"/>
      <c r="C370" s="5"/>
      <c r="D370" s="5"/>
      <c r="E370" s="5"/>
    </row>
    <row r="371" spans="1:5" ht="16.5" customHeight="1">
      <c r="A371" s="5"/>
      <c r="B371" s="5"/>
      <c r="C371" s="5"/>
      <c r="D371" s="5"/>
      <c r="E371" s="5"/>
    </row>
    <row r="372" spans="1:5" ht="16.5" customHeight="1">
      <c r="A372" s="5"/>
      <c r="B372" s="5"/>
      <c r="C372" s="5"/>
      <c r="D372" s="5"/>
      <c r="E372" s="5"/>
    </row>
    <row r="373" spans="1:5" ht="16.5" customHeight="1">
      <c r="A373" s="5"/>
      <c r="B373" s="5"/>
      <c r="C373" s="5"/>
      <c r="D373" s="5"/>
      <c r="E373" s="5"/>
    </row>
    <row r="374" spans="1:5" ht="16.5" customHeight="1">
      <c r="A374" s="5"/>
      <c r="B374" s="5"/>
      <c r="C374" s="5"/>
      <c r="D374" s="5"/>
      <c r="E374" s="5"/>
    </row>
    <row r="375" spans="1:5" ht="16.5" customHeight="1">
      <c r="A375" s="5"/>
      <c r="B375" s="5"/>
      <c r="C375" s="5"/>
      <c r="D375" s="5"/>
      <c r="E375" s="5"/>
    </row>
    <row r="376" spans="1:5" ht="16.5" customHeight="1">
      <c r="A376" s="5"/>
      <c r="B376" s="5"/>
      <c r="C376" s="5"/>
      <c r="D376" s="5"/>
      <c r="E376" s="5"/>
    </row>
    <row r="377" spans="1:5" ht="16.5" customHeight="1">
      <c r="A377" s="5"/>
      <c r="B377" s="5"/>
      <c r="C377" s="5"/>
      <c r="D377" s="5"/>
      <c r="E377" s="5"/>
    </row>
    <row r="378" spans="1:5" ht="16.5" customHeight="1">
      <c r="A378" s="5"/>
      <c r="B378" s="5"/>
      <c r="C378" s="5"/>
      <c r="D378" s="5"/>
      <c r="E378" s="5"/>
    </row>
    <row r="379" spans="1:5" ht="16.5" customHeight="1">
      <c r="A379" s="5"/>
      <c r="B379" s="5"/>
      <c r="C379" s="5"/>
      <c r="D379" s="5"/>
      <c r="E379" s="5"/>
    </row>
    <row r="380" spans="1:5" ht="16.5" customHeight="1">
      <c r="A380" s="5"/>
      <c r="B380" s="5"/>
      <c r="C380" s="5"/>
      <c r="D380" s="5"/>
      <c r="E380" s="5"/>
    </row>
    <row r="381" spans="1:5" ht="16.5" customHeight="1">
      <c r="A381" s="5"/>
      <c r="B381" s="5"/>
      <c r="C381" s="5"/>
      <c r="D381" s="5"/>
      <c r="E381" s="5"/>
    </row>
    <row r="382" spans="1:5" ht="16.5" customHeight="1">
      <c r="A382" s="5"/>
      <c r="B382" s="5"/>
      <c r="C382" s="5"/>
      <c r="D382" s="5"/>
      <c r="E382" s="5"/>
    </row>
    <row r="383" spans="1:5" ht="16.5" customHeight="1">
      <c r="A383" s="5"/>
      <c r="B383" s="5"/>
      <c r="C383" s="5"/>
      <c r="D383" s="5"/>
      <c r="E383" s="5"/>
    </row>
    <row r="384" spans="1:5" ht="16.5" customHeight="1">
      <c r="A384" s="5"/>
      <c r="B384" s="5"/>
      <c r="C384" s="5"/>
      <c r="D384" s="5"/>
      <c r="E384" s="5"/>
    </row>
    <row r="385" spans="1:5" ht="16.5" customHeight="1">
      <c r="A385" s="5"/>
      <c r="B385" s="5"/>
      <c r="C385" s="5"/>
      <c r="D385" s="5"/>
      <c r="E385" s="5"/>
    </row>
    <row r="386" spans="1:5" ht="16.5" customHeight="1">
      <c r="A386" s="5"/>
      <c r="B386" s="5"/>
      <c r="C386" s="5"/>
      <c r="D386" s="5"/>
      <c r="E386" s="5"/>
    </row>
    <row r="387" spans="1:5" ht="16.5" customHeight="1">
      <c r="A387" s="5"/>
      <c r="B387" s="5"/>
      <c r="C387" s="5"/>
      <c r="D387" s="5"/>
      <c r="E387" s="5"/>
    </row>
    <row r="388" spans="1:5" ht="16.5" customHeight="1">
      <c r="A388" s="5"/>
      <c r="B388" s="5"/>
      <c r="C388" s="5"/>
      <c r="D388" s="5"/>
      <c r="E388" s="5"/>
    </row>
    <row r="389" spans="1:5" ht="16.5" customHeight="1">
      <c r="A389" s="5"/>
      <c r="B389" s="5"/>
      <c r="C389" s="5"/>
      <c r="D389" s="5"/>
      <c r="E389" s="5"/>
    </row>
    <row r="390" spans="1:5" ht="16.5" customHeight="1">
      <c r="A390" s="5"/>
      <c r="B390" s="5"/>
      <c r="C390" s="5"/>
      <c r="D390" s="5"/>
      <c r="E390" s="5"/>
    </row>
    <row r="391" spans="1:5" ht="16.5" customHeight="1">
      <c r="A391" s="5"/>
      <c r="B391" s="5"/>
      <c r="C391" s="5"/>
      <c r="D391" s="5"/>
      <c r="E391" s="5"/>
    </row>
    <row r="392" spans="1:5" ht="16.5" customHeight="1">
      <c r="A392" s="5"/>
      <c r="B392" s="5"/>
      <c r="C392" s="5"/>
      <c r="D392" s="5"/>
      <c r="E392" s="5"/>
    </row>
    <row r="393" spans="1:5" ht="16.5" customHeight="1">
      <c r="A393" s="5"/>
      <c r="B393" s="5"/>
      <c r="C393" s="5"/>
      <c r="D393" s="5"/>
      <c r="E393" s="5"/>
    </row>
    <row r="394" spans="1:5" ht="16.5" customHeight="1">
      <c r="A394" s="5"/>
      <c r="B394" s="5"/>
      <c r="C394" s="5"/>
      <c r="D394" s="5"/>
      <c r="E394" s="5"/>
    </row>
    <row r="395" spans="1:5" ht="16.5" customHeight="1">
      <c r="A395" s="5"/>
      <c r="B395" s="5"/>
      <c r="C395" s="5"/>
      <c r="D395" s="5"/>
      <c r="E395" s="5"/>
    </row>
    <row r="396" spans="1:5" ht="16.5" customHeight="1">
      <c r="A396" s="5"/>
      <c r="B396" s="5"/>
      <c r="C396" s="5"/>
      <c r="D396" s="5"/>
      <c r="E396" s="5"/>
    </row>
    <row r="397" spans="1:5" ht="16.5" customHeight="1">
      <c r="A397" s="5"/>
      <c r="B397" s="5"/>
      <c r="C397" s="5"/>
      <c r="D397" s="5"/>
      <c r="E397" s="5"/>
    </row>
    <row r="398" spans="1:5" ht="16.5" customHeight="1">
      <c r="A398" s="5"/>
      <c r="B398" s="5"/>
      <c r="C398" s="5"/>
      <c r="D398" s="5"/>
      <c r="E398" s="5"/>
    </row>
    <row r="399" spans="1:5" ht="16.5" customHeight="1">
      <c r="A399" s="5"/>
      <c r="B399" s="5"/>
      <c r="C399" s="5"/>
      <c r="D399" s="5"/>
      <c r="E399" s="5"/>
    </row>
    <row r="400" spans="1:5" ht="16.5" customHeight="1">
      <c r="A400" s="5"/>
      <c r="B400" s="5"/>
      <c r="C400" s="5"/>
      <c r="D400" s="5"/>
      <c r="E400" s="5"/>
    </row>
    <row r="401" spans="1:5" ht="16.5" customHeight="1">
      <c r="A401" s="5"/>
      <c r="B401" s="5"/>
      <c r="C401" s="5"/>
      <c r="D401" s="5"/>
      <c r="E401" s="5"/>
    </row>
    <row r="402" spans="1:5" ht="16.5" customHeight="1">
      <c r="A402" s="5"/>
      <c r="B402" s="5"/>
      <c r="C402" s="5"/>
      <c r="D402" s="5"/>
      <c r="E402" s="5"/>
    </row>
    <row r="403" spans="1:5" ht="16.5" customHeight="1">
      <c r="A403" s="5"/>
      <c r="B403" s="5"/>
      <c r="C403" s="5"/>
      <c r="D403" s="5"/>
      <c r="E403" s="5"/>
    </row>
    <row r="404" spans="1:5" ht="16.5" customHeight="1">
      <c r="A404" s="5"/>
      <c r="B404" s="5"/>
      <c r="C404" s="5"/>
      <c r="D404" s="5"/>
      <c r="E404" s="5"/>
    </row>
    <row r="405" spans="1:5" ht="16.5" customHeight="1">
      <c r="A405" s="5"/>
      <c r="B405" s="5"/>
      <c r="C405" s="5"/>
      <c r="D405" s="5"/>
      <c r="E405" s="5"/>
    </row>
    <row r="406" spans="1:5" ht="16.5" customHeight="1">
      <c r="A406" s="5"/>
      <c r="B406" s="5"/>
      <c r="C406" s="5"/>
      <c r="D406" s="5"/>
      <c r="E406" s="5"/>
    </row>
    <row r="407" spans="1:5" ht="16.5" customHeight="1">
      <c r="A407" s="5"/>
      <c r="B407" s="5"/>
      <c r="C407" s="5"/>
      <c r="D407" s="5"/>
      <c r="E407" s="5"/>
    </row>
    <row r="408" spans="1:5" ht="16.5" customHeight="1">
      <c r="A408" s="5"/>
      <c r="B408" s="5"/>
      <c r="C408" s="5"/>
      <c r="D408" s="5"/>
      <c r="E408" s="5"/>
    </row>
    <row r="409" spans="1:5" ht="16.5" customHeight="1">
      <c r="A409" s="5"/>
      <c r="B409" s="5"/>
      <c r="C409" s="5"/>
      <c r="D409" s="5"/>
      <c r="E409" s="5"/>
    </row>
    <row r="410" spans="1:5" ht="16.5" customHeight="1">
      <c r="A410" s="5"/>
      <c r="B410" s="5"/>
      <c r="C410" s="5"/>
      <c r="D410" s="5"/>
      <c r="E410" s="5"/>
    </row>
    <row r="411" spans="1:5" ht="16.5" customHeight="1">
      <c r="A411" s="5"/>
      <c r="B411" s="5"/>
      <c r="C411" s="5"/>
      <c r="D411" s="5"/>
      <c r="E411" s="5"/>
    </row>
    <row r="412" spans="1:5" ht="16.5" customHeight="1">
      <c r="A412" s="5"/>
      <c r="B412" s="5"/>
      <c r="C412" s="5"/>
      <c r="D412" s="5"/>
      <c r="E412" s="5"/>
    </row>
    <row r="413" spans="1:5" ht="16.5" customHeight="1">
      <c r="A413" s="5"/>
      <c r="B413" s="5"/>
      <c r="C413" s="5"/>
      <c r="D413" s="5"/>
      <c r="E413" s="5"/>
    </row>
    <row r="414" spans="1:5" ht="16.5" customHeight="1">
      <c r="A414" s="5"/>
      <c r="B414" s="5"/>
      <c r="C414" s="5"/>
      <c r="D414" s="5"/>
      <c r="E414" s="5"/>
    </row>
    <row r="415" spans="1:5" ht="16.5" customHeight="1">
      <c r="A415" s="5"/>
      <c r="B415" s="5"/>
      <c r="C415" s="5"/>
      <c r="D415" s="5"/>
      <c r="E415" s="5"/>
    </row>
    <row r="416" spans="1:5" ht="16.5" customHeight="1">
      <c r="A416" s="5"/>
      <c r="B416" s="5"/>
      <c r="C416" s="5"/>
      <c r="D416" s="5"/>
      <c r="E416" s="5"/>
    </row>
    <row r="417" spans="1:5" ht="16.5" customHeight="1">
      <c r="A417" s="5"/>
      <c r="B417" s="5"/>
      <c r="C417" s="5"/>
      <c r="D417" s="5"/>
      <c r="E417" s="5"/>
    </row>
    <row r="418" spans="1:5" ht="16.5" customHeight="1">
      <c r="A418" s="5"/>
      <c r="B418" s="5"/>
      <c r="C418" s="5"/>
      <c r="D418" s="5"/>
      <c r="E418" s="5"/>
    </row>
    <row r="419" spans="1:5" ht="16.5" customHeight="1">
      <c r="A419" s="5"/>
      <c r="B419" s="5"/>
      <c r="C419" s="5"/>
      <c r="D419" s="5"/>
      <c r="E419" s="5"/>
    </row>
    <row r="420" spans="1:5" ht="16.5" customHeight="1">
      <c r="A420" s="5"/>
      <c r="B420" s="5"/>
      <c r="C420" s="5"/>
      <c r="D420" s="5"/>
      <c r="E420" s="5"/>
    </row>
    <row r="421" spans="1:5" ht="16.5" customHeight="1">
      <c r="A421" s="5"/>
      <c r="B421" s="5"/>
      <c r="C421" s="5"/>
      <c r="D421" s="5"/>
      <c r="E421" s="5"/>
    </row>
    <row r="422" spans="1:5" ht="16.5" customHeight="1">
      <c r="A422" s="5"/>
      <c r="B422" s="5"/>
      <c r="C422" s="5"/>
      <c r="D422" s="5"/>
      <c r="E422" s="5"/>
    </row>
    <row r="423" spans="1:5" ht="16.5" customHeight="1">
      <c r="A423" s="5"/>
      <c r="B423" s="5"/>
      <c r="C423" s="5"/>
      <c r="D423" s="5"/>
      <c r="E423" s="5"/>
    </row>
    <row r="424" spans="1:5" ht="16.5" customHeight="1">
      <c r="A424" s="5"/>
      <c r="B424" s="5"/>
      <c r="C424" s="5"/>
      <c r="D424" s="5"/>
      <c r="E424" s="5"/>
    </row>
    <row r="425" spans="1:5" ht="16.5" customHeight="1">
      <c r="A425" s="5"/>
      <c r="B425" s="5"/>
      <c r="C425" s="5"/>
      <c r="D425" s="5"/>
      <c r="E425" s="5"/>
    </row>
    <row r="426" spans="1:5" ht="16.5" customHeight="1">
      <c r="A426" s="5"/>
      <c r="B426" s="5"/>
      <c r="C426" s="5"/>
      <c r="D426" s="5"/>
      <c r="E426" s="5"/>
    </row>
    <row r="427" spans="1:5" ht="16.5" customHeight="1">
      <c r="A427" s="5"/>
      <c r="B427" s="5"/>
      <c r="C427" s="5"/>
      <c r="D427" s="5"/>
      <c r="E427" s="5"/>
    </row>
    <row r="428" spans="1:5" ht="16.5" customHeight="1">
      <c r="A428" s="5"/>
      <c r="B428" s="5"/>
      <c r="C428" s="5"/>
      <c r="D428" s="5"/>
      <c r="E428" s="5"/>
    </row>
    <row r="429" spans="1:5" ht="16.5" customHeight="1">
      <c r="A429" s="5"/>
      <c r="B429" s="5"/>
      <c r="C429" s="5"/>
      <c r="D429" s="5"/>
      <c r="E429" s="5"/>
    </row>
    <row r="430" spans="1:5" ht="16.5" customHeight="1">
      <c r="A430" s="5"/>
      <c r="B430" s="5"/>
      <c r="C430" s="5"/>
      <c r="D430" s="5"/>
      <c r="E430" s="5"/>
    </row>
    <row r="431" spans="1:5" ht="16.5" customHeight="1">
      <c r="A431" s="5"/>
      <c r="B431" s="5"/>
      <c r="C431" s="5"/>
      <c r="D431" s="5"/>
      <c r="E431" s="5"/>
    </row>
    <row r="432" spans="1:5" ht="16.5" customHeight="1">
      <c r="A432" s="5"/>
      <c r="B432" s="5"/>
      <c r="C432" s="5"/>
      <c r="D432" s="5"/>
      <c r="E432" s="5"/>
    </row>
    <row r="433" spans="1:5" ht="16.5" customHeight="1">
      <c r="A433" s="5"/>
      <c r="B433" s="5"/>
      <c r="C433" s="5"/>
      <c r="D433" s="5"/>
      <c r="E433" s="5"/>
    </row>
    <row r="434" spans="1:5" ht="16.5" customHeight="1">
      <c r="A434" s="5"/>
      <c r="B434" s="5"/>
      <c r="C434" s="5"/>
      <c r="D434" s="5"/>
      <c r="E434" s="5"/>
    </row>
    <row r="435" spans="1:5" ht="16.5" customHeight="1">
      <c r="A435" s="5"/>
      <c r="B435" s="5"/>
      <c r="C435" s="5"/>
      <c r="D435" s="5"/>
      <c r="E435" s="5"/>
    </row>
    <row r="436" spans="1:5" ht="16.5" customHeight="1">
      <c r="A436" s="5"/>
      <c r="B436" s="5"/>
      <c r="C436" s="5"/>
      <c r="D436" s="5"/>
      <c r="E436" s="5"/>
    </row>
    <row r="437" spans="1:5" ht="16.5" customHeight="1">
      <c r="A437" s="5"/>
      <c r="B437" s="5"/>
      <c r="C437" s="5"/>
      <c r="D437" s="5"/>
      <c r="E437" s="5"/>
    </row>
    <row r="438" spans="1:5" ht="16.5" customHeight="1">
      <c r="A438" s="5"/>
      <c r="B438" s="5"/>
      <c r="C438" s="5"/>
      <c r="D438" s="5"/>
      <c r="E438" s="5"/>
    </row>
    <row r="439" spans="1:5" ht="16.5" customHeight="1">
      <c r="A439" s="5"/>
      <c r="B439" s="5"/>
      <c r="C439" s="5"/>
      <c r="D439" s="5"/>
      <c r="E439" s="5"/>
    </row>
    <row r="440" spans="1:5" ht="16.5" customHeight="1">
      <c r="A440" s="5"/>
      <c r="B440" s="5"/>
      <c r="C440" s="5"/>
      <c r="D440" s="5"/>
      <c r="E440" s="5"/>
    </row>
    <row r="441" spans="1:5" ht="16.5" customHeight="1">
      <c r="A441" s="5"/>
      <c r="B441" s="5"/>
      <c r="C441" s="5"/>
      <c r="D441" s="5"/>
      <c r="E441" s="5"/>
    </row>
    <row r="442" spans="1:5" ht="16.5" customHeight="1">
      <c r="A442" s="5"/>
      <c r="B442" s="5"/>
      <c r="C442" s="5"/>
      <c r="D442" s="5"/>
      <c r="E442" s="5"/>
    </row>
    <row r="443" spans="1:5" ht="16.5" customHeight="1">
      <c r="A443" s="5"/>
      <c r="B443" s="5"/>
      <c r="C443" s="5"/>
      <c r="D443" s="5"/>
      <c r="E443" s="5"/>
    </row>
    <row r="444" spans="1:5" ht="16.5" customHeight="1">
      <c r="A444" s="5"/>
      <c r="B444" s="5"/>
      <c r="C444" s="5"/>
      <c r="D444" s="5"/>
      <c r="E444" s="5"/>
    </row>
    <row r="445" spans="1:5" ht="16.5" customHeight="1">
      <c r="A445" s="5"/>
      <c r="B445" s="5"/>
      <c r="C445" s="5"/>
      <c r="D445" s="5"/>
      <c r="E445" s="5"/>
    </row>
    <row r="446" spans="1:5" ht="16.5" customHeight="1">
      <c r="A446" s="5"/>
      <c r="B446" s="5"/>
      <c r="C446" s="5"/>
      <c r="D446" s="5"/>
      <c r="E446" s="5"/>
    </row>
    <row r="447" spans="1:5" ht="16.5" customHeight="1">
      <c r="A447" s="5"/>
      <c r="B447" s="5"/>
      <c r="C447" s="5"/>
      <c r="D447" s="5"/>
      <c r="E447" s="5"/>
    </row>
    <row r="448" spans="1:5" ht="16.5" customHeight="1">
      <c r="A448" s="5"/>
      <c r="B448" s="5"/>
      <c r="C448" s="5"/>
      <c r="D448" s="5"/>
      <c r="E448" s="5"/>
    </row>
    <row r="449" spans="1:5" ht="16.5" customHeight="1">
      <c r="A449" s="5"/>
      <c r="B449" s="5"/>
      <c r="C449" s="5"/>
      <c r="D449" s="5"/>
      <c r="E449" s="5"/>
    </row>
    <row r="450" spans="1:5" ht="16.5" customHeight="1">
      <c r="A450" s="5"/>
      <c r="B450" s="5"/>
      <c r="C450" s="5"/>
      <c r="D450" s="5"/>
      <c r="E450" s="5"/>
    </row>
    <row r="451" spans="1:5" ht="16.5" customHeight="1">
      <c r="A451" s="5"/>
      <c r="B451" s="5"/>
      <c r="C451" s="5"/>
      <c r="D451" s="5"/>
      <c r="E451" s="5"/>
    </row>
    <row r="452" spans="1:5" ht="16.5" customHeight="1">
      <c r="A452" s="5"/>
      <c r="B452" s="5"/>
      <c r="C452" s="5"/>
      <c r="D452" s="5"/>
      <c r="E452" s="5"/>
    </row>
    <row r="453" spans="1:5" ht="16.5" customHeight="1">
      <c r="A453" s="5"/>
      <c r="B453" s="5"/>
      <c r="C453" s="5"/>
      <c r="D453" s="5"/>
      <c r="E453" s="5"/>
    </row>
    <row r="454" spans="1:5" ht="16.5" customHeight="1">
      <c r="A454" s="5"/>
      <c r="B454" s="5"/>
      <c r="C454" s="5"/>
      <c r="D454" s="5"/>
      <c r="E454" s="5"/>
    </row>
    <row r="455" spans="1:5" ht="16.5" customHeight="1">
      <c r="A455" s="5"/>
      <c r="B455" s="5"/>
      <c r="C455" s="5"/>
      <c r="D455" s="5"/>
      <c r="E455" s="5"/>
    </row>
    <row r="456" spans="1:5" ht="16.5" customHeight="1">
      <c r="A456" s="5"/>
      <c r="B456" s="5"/>
      <c r="C456" s="5"/>
      <c r="D456" s="5"/>
      <c r="E456" s="5"/>
    </row>
    <row r="457" spans="1:5" ht="16.5" customHeight="1">
      <c r="A457" s="5"/>
      <c r="B457" s="5"/>
      <c r="C457" s="5"/>
      <c r="D457" s="5"/>
      <c r="E457" s="5"/>
    </row>
    <row r="458" spans="1:5" ht="16.5" customHeight="1">
      <c r="A458" s="5"/>
      <c r="B458" s="5"/>
      <c r="C458" s="5"/>
      <c r="D458" s="5"/>
      <c r="E458" s="5"/>
    </row>
    <row r="459" spans="1:5" ht="16.5" customHeight="1">
      <c r="A459" s="5"/>
      <c r="B459" s="5"/>
      <c r="C459" s="5"/>
      <c r="D459" s="5"/>
      <c r="E459" s="5"/>
    </row>
    <row r="460" spans="1:5" ht="16.5" customHeight="1">
      <c r="A460" s="5"/>
      <c r="B460" s="5"/>
      <c r="C460" s="5"/>
      <c r="D460" s="5"/>
      <c r="E460" s="5"/>
    </row>
    <row r="461" spans="1:5" ht="16.5" customHeight="1">
      <c r="A461" s="5"/>
      <c r="B461" s="5"/>
      <c r="C461" s="5"/>
      <c r="D461" s="5"/>
      <c r="E461" s="5"/>
    </row>
    <row r="462" spans="1:5" ht="16.5" customHeight="1">
      <c r="A462" s="5"/>
      <c r="B462" s="5"/>
      <c r="C462" s="5"/>
      <c r="D462" s="5"/>
      <c r="E462" s="5"/>
    </row>
    <row r="463" spans="1:5" ht="16.5" customHeight="1">
      <c r="A463" s="5"/>
      <c r="B463" s="5"/>
      <c r="C463" s="5"/>
      <c r="D463" s="5"/>
      <c r="E463" s="5"/>
    </row>
    <row r="464" spans="1:5" ht="16.5" customHeight="1">
      <c r="A464" s="5"/>
      <c r="B464" s="5"/>
      <c r="C464" s="5"/>
      <c r="D464" s="5"/>
      <c r="E464" s="5"/>
    </row>
    <row r="465" spans="1:5" ht="16.5" customHeight="1">
      <c r="A465" s="5"/>
      <c r="B465" s="5"/>
      <c r="C465" s="5"/>
      <c r="D465" s="5"/>
      <c r="E465" s="5"/>
    </row>
    <row r="466" spans="1:5" ht="16.5" customHeight="1">
      <c r="A466" s="5"/>
      <c r="B466" s="5"/>
      <c r="C466" s="5"/>
      <c r="D466" s="5"/>
      <c r="E466" s="5"/>
    </row>
    <row r="467" spans="1:5" ht="16.5" customHeight="1">
      <c r="A467" s="5"/>
      <c r="B467" s="5"/>
      <c r="C467" s="5"/>
      <c r="D467" s="5"/>
      <c r="E467" s="5"/>
    </row>
    <row r="468" spans="1:5" ht="16.5" customHeight="1">
      <c r="A468" s="5"/>
      <c r="B468" s="5"/>
      <c r="C468" s="5"/>
      <c r="D468" s="5"/>
      <c r="E468" s="5"/>
    </row>
    <row r="469" spans="1:5" ht="16.5" customHeight="1">
      <c r="A469" s="5"/>
      <c r="B469" s="5"/>
      <c r="C469" s="5"/>
      <c r="D469" s="5"/>
      <c r="E469" s="5"/>
    </row>
    <row r="470" spans="1:5" ht="16.5" customHeight="1">
      <c r="A470" s="5"/>
      <c r="B470" s="5"/>
      <c r="C470" s="5"/>
      <c r="D470" s="5"/>
      <c r="E470" s="5"/>
    </row>
    <row r="471" spans="1:5" ht="16.5" customHeight="1">
      <c r="A471" s="5"/>
      <c r="B471" s="5"/>
      <c r="C471" s="5"/>
      <c r="D471" s="5"/>
      <c r="E471" s="5"/>
    </row>
    <row r="472" spans="1:5" ht="16.5" customHeight="1">
      <c r="A472" s="5"/>
      <c r="B472" s="5"/>
      <c r="C472" s="5"/>
      <c r="D472" s="5"/>
      <c r="E472" s="5"/>
    </row>
    <row r="473" spans="1:5" ht="16.5" customHeight="1">
      <c r="A473" s="5"/>
      <c r="B473" s="5"/>
      <c r="C473" s="5"/>
      <c r="D473" s="5"/>
      <c r="E473" s="5"/>
    </row>
    <row r="474" spans="1:5" ht="16.5" customHeight="1">
      <c r="A474" s="5"/>
      <c r="B474" s="5"/>
      <c r="C474" s="5"/>
      <c r="D474" s="5"/>
      <c r="E474" s="5"/>
    </row>
    <row r="475" spans="1:5" ht="16.5" customHeight="1">
      <c r="A475" s="5"/>
      <c r="B475" s="5"/>
      <c r="C475" s="5"/>
      <c r="D475" s="5"/>
      <c r="E475" s="5"/>
    </row>
    <row r="476" spans="1:5" ht="16.5" customHeight="1">
      <c r="A476" s="5"/>
      <c r="B476" s="5"/>
      <c r="C476" s="5"/>
      <c r="D476" s="5"/>
      <c r="E476" s="5"/>
    </row>
    <row r="477" spans="1:5" ht="16.5" customHeight="1">
      <c r="A477" s="5"/>
      <c r="B477" s="5"/>
      <c r="C477" s="5"/>
      <c r="D477" s="5"/>
      <c r="E477" s="5"/>
    </row>
    <row r="478" spans="1:5" ht="16.5" customHeight="1">
      <c r="A478" s="5"/>
      <c r="B478" s="5"/>
      <c r="C478" s="5"/>
      <c r="D478" s="5"/>
      <c r="E478" s="5"/>
    </row>
    <row r="479" spans="1:5" ht="16.5" customHeight="1">
      <c r="A479" s="5"/>
      <c r="B479" s="5"/>
      <c r="C479" s="5"/>
      <c r="D479" s="5"/>
      <c r="E479" s="5"/>
    </row>
    <row r="480" spans="1:5" ht="16.5" customHeight="1">
      <c r="A480" s="5"/>
      <c r="B480" s="5"/>
      <c r="C480" s="5"/>
      <c r="D480" s="5"/>
      <c r="E480" s="5"/>
    </row>
    <row r="481" spans="1:5" ht="16.5" customHeight="1">
      <c r="A481" s="5"/>
      <c r="B481" s="5"/>
      <c r="C481" s="5"/>
      <c r="D481" s="5"/>
      <c r="E481" s="5"/>
    </row>
    <row r="482" spans="1:5" ht="16.5" customHeight="1">
      <c r="A482" s="5"/>
      <c r="B482" s="5"/>
      <c r="C482" s="5"/>
      <c r="D482" s="5"/>
      <c r="E482" s="5"/>
    </row>
    <row r="483" spans="1:5" ht="16.5" customHeight="1">
      <c r="A483" s="5"/>
      <c r="B483" s="5"/>
      <c r="C483" s="5"/>
      <c r="D483" s="5"/>
      <c r="E483" s="5"/>
    </row>
    <row r="484" spans="1:5" ht="16.5" customHeight="1">
      <c r="A484" s="5"/>
      <c r="B484" s="5"/>
      <c r="C484" s="5"/>
      <c r="D484" s="5"/>
      <c r="E484" s="5"/>
    </row>
    <row r="485" spans="1:5" ht="16.5" customHeight="1">
      <c r="A485" s="5"/>
      <c r="B485" s="5"/>
      <c r="C485" s="5"/>
      <c r="D485" s="5"/>
      <c r="E485" s="5"/>
    </row>
    <row r="486" spans="1:5" ht="16.5" customHeight="1">
      <c r="A486" s="5"/>
      <c r="B486" s="5"/>
      <c r="C486" s="5"/>
      <c r="D486" s="5"/>
      <c r="E486" s="5"/>
    </row>
    <row r="487" spans="1:5" ht="16.5" customHeight="1">
      <c r="A487" s="5"/>
      <c r="B487" s="5"/>
      <c r="C487" s="5"/>
      <c r="D487" s="5"/>
      <c r="E487" s="5"/>
    </row>
    <row r="488" spans="1:5" ht="16.5" customHeight="1">
      <c r="A488" s="5"/>
      <c r="B488" s="5"/>
      <c r="C488" s="5"/>
      <c r="D488" s="5"/>
      <c r="E488" s="5"/>
    </row>
    <row r="489" spans="1:5" ht="16.5" customHeight="1">
      <c r="A489" s="5"/>
      <c r="B489" s="5"/>
      <c r="C489" s="5"/>
      <c r="D489" s="5"/>
      <c r="E489" s="5"/>
    </row>
    <row r="490" spans="1:5" ht="16.5" customHeight="1">
      <c r="A490" s="5"/>
      <c r="B490" s="5"/>
      <c r="C490" s="5"/>
      <c r="D490" s="5"/>
      <c r="E490" s="5"/>
    </row>
    <row r="491" spans="1:5" ht="16.5" customHeight="1">
      <c r="A491" s="5"/>
      <c r="B491" s="5"/>
      <c r="C491" s="5"/>
      <c r="D491" s="5"/>
      <c r="E491" s="5"/>
    </row>
    <row r="492" spans="1:5" ht="16.5" customHeight="1">
      <c r="A492" s="5"/>
      <c r="B492" s="5"/>
      <c r="C492" s="5"/>
      <c r="D492" s="5"/>
      <c r="E492" s="5"/>
    </row>
    <row r="493" spans="1:5" ht="16.5" customHeight="1">
      <c r="A493" s="5"/>
      <c r="B493" s="5"/>
      <c r="C493" s="5"/>
      <c r="D493" s="5"/>
      <c r="E493" s="5"/>
    </row>
    <row r="494" spans="1:5" ht="16.5" customHeight="1">
      <c r="A494" s="5"/>
      <c r="B494" s="5"/>
      <c r="C494" s="5"/>
      <c r="D494" s="5"/>
      <c r="E494" s="5"/>
    </row>
    <row r="495" spans="1:5" ht="16.5" customHeight="1">
      <c r="A495" s="5"/>
      <c r="B495" s="5"/>
      <c r="C495" s="5"/>
      <c r="D495" s="5"/>
      <c r="E495" s="5"/>
    </row>
    <row r="496" spans="1:5" ht="16.5" customHeight="1">
      <c r="A496" s="5"/>
      <c r="B496" s="5"/>
      <c r="C496" s="5"/>
      <c r="D496" s="5"/>
      <c r="E496" s="5"/>
    </row>
    <row r="497" spans="1:5" ht="16.5" customHeight="1">
      <c r="A497" s="5"/>
      <c r="B497" s="5"/>
      <c r="C497" s="5"/>
      <c r="D497" s="5"/>
      <c r="E497" s="5"/>
    </row>
    <row r="498" spans="1:5" ht="16.5" customHeight="1">
      <c r="A498" s="5"/>
      <c r="B498" s="5"/>
      <c r="C498" s="5"/>
      <c r="D498" s="5"/>
      <c r="E498" s="5"/>
    </row>
    <row r="499" spans="1:5" ht="16.5" customHeight="1">
      <c r="A499" s="5"/>
      <c r="B499" s="5"/>
      <c r="C499" s="5"/>
      <c r="D499" s="5"/>
      <c r="E499" s="5"/>
    </row>
    <row r="500" spans="1:5" ht="16.5" customHeight="1">
      <c r="A500" s="5"/>
      <c r="B500" s="5"/>
      <c r="C500" s="5"/>
      <c r="D500" s="5"/>
      <c r="E500" s="5"/>
    </row>
    <row r="501" spans="1:5" ht="16.5" customHeight="1">
      <c r="A501" s="5"/>
      <c r="B501" s="5"/>
      <c r="C501" s="5"/>
      <c r="D501" s="5"/>
      <c r="E501" s="5"/>
    </row>
    <row r="502" spans="1:5" ht="16.5" customHeight="1">
      <c r="A502" s="5"/>
      <c r="B502" s="5"/>
      <c r="C502" s="5"/>
      <c r="D502" s="5"/>
      <c r="E502" s="5"/>
    </row>
    <row r="503" spans="1:5" ht="16.5" customHeight="1">
      <c r="A503" s="5"/>
      <c r="B503" s="5"/>
      <c r="C503" s="5"/>
      <c r="D503" s="5"/>
      <c r="E503" s="5"/>
    </row>
    <row r="504" spans="1:5" ht="16.5" customHeight="1">
      <c r="A504" s="5"/>
      <c r="B504" s="5"/>
      <c r="C504" s="5"/>
      <c r="D504" s="5"/>
      <c r="E504" s="5"/>
    </row>
    <row r="505" spans="1:5" ht="16.5" customHeight="1">
      <c r="A505" s="5"/>
      <c r="B505" s="5"/>
      <c r="C505" s="5"/>
      <c r="D505" s="5"/>
      <c r="E505" s="5"/>
    </row>
    <row r="506" spans="1:5" ht="16.5" customHeight="1">
      <c r="A506" s="5"/>
      <c r="B506" s="5"/>
      <c r="C506" s="5"/>
      <c r="D506" s="5"/>
      <c r="E506" s="5"/>
    </row>
    <row r="507" spans="1:5" ht="16.5" customHeight="1">
      <c r="A507" s="5"/>
      <c r="B507" s="5"/>
      <c r="C507" s="5"/>
      <c r="D507" s="5"/>
      <c r="E507" s="5"/>
    </row>
    <row r="508" spans="1:5" ht="16.5" customHeight="1">
      <c r="A508" s="5"/>
      <c r="B508" s="5"/>
      <c r="C508" s="5"/>
      <c r="D508" s="5"/>
      <c r="E508" s="5"/>
    </row>
    <row r="509" spans="1:5" ht="16.5" customHeight="1">
      <c r="A509" s="5"/>
      <c r="B509" s="5"/>
      <c r="C509" s="5"/>
      <c r="D509" s="5"/>
      <c r="E509" s="5"/>
    </row>
    <row r="510" spans="1:5" ht="16.5" customHeight="1">
      <c r="A510" s="5"/>
      <c r="B510" s="5"/>
      <c r="C510" s="5"/>
      <c r="D510" s="5"/>
      <c r="E510" s="5"/>
    </row>
    <row r="511" spans="1:5" ht="16.5" customHeight="1">
      <c r="A511" s="5"/>
      <c r="B511" s="5"/>
      <c r="C511" s="5"/>
      <c r="D511" s="5"/>
      <c r="E511" s="5"/>
    </row>
    <row r="512" spans="1:5" ht="16.5" customHeight="1">
      <c r="A512" s="5"/>
      <c r="B512" s="5"/>
      <c r="C512" s="5"/>
      <c r="D512" s="5"/>
      <c r="E512" s="5"/>
    </row>
    <row r="513" spans="1:5" ht="16.5" customHeight="1">
      <c r="A513" s="5"/>
      <c r="B513" s="5"/>
      <c r="C513" s="5"/>
      <c r="D513" s="5"/>
      <c r="E513" s="5"/>
    </row>
    <row r="514" spans="1:5" ht="16.5" customHeight="1">
      <c r="A514" s="5"/>
      <c r="B514" s="5"/>
      <c r="C514" s="5"/>
      <c r="D514" s="5"/>
      <c r="E514" s="5"/>
    </row>
    <row r="515" spans="1:5" ht="16.5" customHeight="1">
      <c r="A515" s="5"/>
      <c r="B515" s="5"/>
      <c r="C515" s="5"/>
      <c r="D515" s="5"/>
      <c r="E515" s="5"/>
    </row>
    <row r="516" spans="1:5" ht="16.5" customHeight="1">
      <c r="A516" s="5"/>
      <c r="B516" s="5"/>
      <c r="C516" s="5"/>
      <c r="D516" s="5"/>
      <c r="E516" s="5"/>
    </row>
    <row r="517" spans="1:5" ht="16.5" customHeight="1">
      <c r="A517" s="5"/>
      <c r="B517" s="5"/>
      <c r="C517" s="5"/>
      <c r="D517" s="5"/>
      <c r="E517" s="5"/>
    </row>
    <row r="518" spans="1:5" ht="16.5" customHeight="1">
      <c r="A518" s="5"/>
      <c r="B518" s="5"/>
      <c r="C518" s="5"/>
      <c r="D518" s="5"/>
      <c r="E518" s="5"/>
    </row>
    <row r="519" spans="1:5" ht="16.5" customHeight="1">
      <c r="A519" s="5"/>
      <c r="B519" s="5"/>
      <c r="C519" s="5"/>
      <c r="D519" s="5"/>
      <c r="E519" s="5"/>
    </row>
    <row r="520" spans="1:5" ht="16.5" customHeight="1">
      <c r="A520" s="5"/>
      <c r="B520" s="5"/>
      <c r="C520" s="5"/>
      <c r="D520" s="5"/>
      <c r="E520" s="5"/>
    </row>
    <row r="521" spans="1:5" ht="16.5" customHeight="1">
      <c r="A521" s="5"/>
      <c r="B521" s="5"/>
      <c r="C521" s="5"/>
      <c r="D521" s="5"/>
      <c r="E521" s="5"/>
    </row>
    <row r="522" spans="1:5" ht="16.5" customHeight="1">
      <c r="A522" s="5"/>
      <c r="B522" s="5"/>
      <c r="C522" s="5"/>
      <c r="D522" s="5"/>
      <c r="E522" s="5"/>
    </row>
    <row r="523" spans="1:5" ht="16.5" customHeight="1">
      <c r="A523" s="5"/>
      <c r="B523" s="5"/>
      <c r="C523" s="5"/>
      <c r="D523" s="5"/>
      <c r="E523" s="5"/>
    </row>
    <row r="524" spans="1:5" ht="16.5" customHeight="1">
      <c r="A524" s="5"/>
      <c r="B524" s="5"/>
      <c r="C524" s="5"/>
      <c r="D524" s="5"/>
      <c r="E524" s="5"/>
    </row>
    <row r="525" spans="1:5" ht="16.5" customHeight="1">
      <c r="A525" s="5"/>
      <c r="B525" s="5"/>
      <c r="C525" s="5"/>
      <c r="D525" s="5"/>
      <c r="E525" s="5"/>
    </row>
    <row r="526" spans="1:5" ht="16.5" customHeight="1">
      <c r="A526" s="5"/>
      <c r="B526" s="5"/>
      <c r="C526" s="5"/>
      <c r="D526" s="5"/>
      <c r="E526" s="5"/>
    </row>
    <row r="527" spans="1:5" ht="16.5" customHeight="1">
      <c r="A527" s="5"/>
      <c r="B527" s="5"/>
      <c r="C527" s="5"/>
      <c r="D527" s="5"/>
      <c r="E527" s="5"/>
    </row>
    <row r="528" spans="1:5" ht="16.5" customHeight="1">
      <c r="A528" s="5"/>
      <c r="B528" s="5"/>
      <c r="C528" s="5"/>
      <c r="D528" s="5"/>
      <c r="E528" s="5"/>
    </row>
    <row r="529" spans="1:5" ht="16.5" customHeight="1">
      <c r="A529" s="5"/>
      <c r="B529" s="5"/>
      <c r="C529" s="5"/>
      <c r="D529" s="5"/>
      <c r="E529" s="5"/>
    </row>
    <row r="530" spans="1:5" ht="16.5" customHeight="1">
      <c r="A530" s="5"/>
      <c r="B530" s="5"/>
      <c r="C530" s="5"/>
      <c r="D530" s="5"/>
      <c r="E530" s="5"/>
    </row>
    <row r="531" spans="1:5" ht="16.5" customHeight="1">
      <c r="A531" s="5"/>
      <c r="B531" s="5"/>
      <c r="C531" s="5"/>
      <c r="D531" s="5"/>
      <c r="E531" s="5"/>
    </row>
    <row r="532" spans="1:5" ht="16.5" customHeight="1">
      <c r="A532" s="5"/>
      <c r="B532" s="5"/>
      <c r="C532" s="5"/>
      <c r="D532" s="5"/>
      <c r="E532" s="5"/>
    </row>
    <row r="533" spans="1:5" ht="16.5" customHeight="1">
      <c r="A533" s="5"/>
      <c r="B533" s="5"/>
      <c r="C533" s="5"/>
      <c r="D533" s="5"/>
      <c r="E533" s="5"/>
    </row>
    <row r="534" spans="1:5" ht="16.5" customHeight="1">
      <c r="A534" s="5"/>
      <c r="B534" s="5"/>
      <c r="C534" s="5"/>
      <c r="D534" s="5"/>
      <c r="E534" s="5"/>
    </row>
    <row r="535" spans="1:5" ht="16.5" customHeight="1">
      <c r="A535" s="5"/>
      <c r="B535" s="5"/>
      <c r="C535" s="5"/>
      <c r="D535" s="5"/>
      <c r="E535" s="5"/>
    </row>
    <row r="536" spans="1:5" ht="16.5" customHeight="1">
      <c r="A536" s="5"/>
      <c r="B536" s="5"/>
      <c r="C536" s="5"/>
      <c r="D536" s="5"/>
      <c r="E536" s="5"/>
    </row>
    <row r="537" spans="1:5" ht="16.5" customHeight="1">
      <c r="A537" s="5"/>
      <c r="B537" s="5"/>
      <c r="C537" s="5"/>
      <c r="D537" s="5"/>
      <c r="E537" s="5"/>
    </row>
    <row r="538" spans="1:5" ht="16.5" customHeight="1">
      <c r="A538" s="5"/>
      <c r="B538" s="5"/>
      <c r="C538" s="5"/>
      <c r="D538" s="5"/>
      <c r="E538" s="5"/>
    </row>
    <row r="539" spans="1:5" ht="16.5" customHeight="1">
      <c r="A539" s="5"/>
      <c r="B539" s="5"/>
      <c r="C539" s="5"/>
      <c r="D539" s="5"/>
      <c r="E539" s="5"/>
    </row>
    <row r="540" spans="1:5" ht="16.5" customHeight="1">
      <c r="A540" s="5"/>
      <c r="B540" s="5"/>
      <c r="C540" s="5"/>
      <c r="D540" s="5"/>
      <c r="E540" s="5"/>
    </row>
    <row r="541" spans="1:5" ht="16.5" customHeight="1">
      <c r="A541" s="5"/>
      <c r="B541" s="5"/>
      <c r="C541" s="5"/>
      <c r="D541" s="5"/>
      <c r="E541" s="5"/>
    </row>
    <row r="542" spans="1:5" ht="16.5" customHeight="1">
      <c r="A542" s="5"/>
      <c r="B542" s="5"/>
      <c r="C542" s="5"/>
      <c r="D542" s="5"/>
      <c r="E542" s="5"/>
    </row>
    <row r="543" spans="1:5" ht="16.5" customHeight="1">
      <c r="A543" s="5"/>
      <c r="B543" s="5"/>
      <c r="C543" s="5"/>
      <c r="D543" s="5"/>
      <c r="E543" s="5"/>
    </row>
    <row r="544" spans="1:5" ht="16.5" customHeight="1">
      <c r="A544" s="5"/>
      <c r="B544" s="5"/>
      <c r="C544" s="5"/>
      <c r="D544" s="5"/>
      <c r="E544" s="5"/>
    </row>
    <row r="545" spans="1:5" ht="16.5" customHeight="1">
      <c r="A545" s="5"/>
      <c r="B545" s="5"/>
      <c r="C545" s="5"/>
      <c r="D545" s="5"/>
      <c r="E545" s="5"/>
    </row>
    <row r="546" spans="1:5" ht="16.5" customHeight="1">
      <c r="A546" s="5"/>
      <c r="B546" s="5"/>
      <c r="C546" s="5"/>
      <c r="D546" s="5"/>
      <c r="E546" s="5"/>
    </row>
    <row r="547" spans="1:5" ht="16.5" customHeight="1">
      <c r="A547" s="5"/>
      <c r="B547" s="5"/>
      <c r="C547" s="5"/>
      <c r="D547" s="5"/>
      <c r="E547" s="5"/>
    </row>
    <row r="548" spans="1:5" ht="16.5" customHeight="1">
      <c r="A548" s="5"/>
      <c r="B548" s="5"/>
      <c r="C548" s="5"/>
      <c r="D548" s="5"/>
      <c r="E548" s="5"/>
    </row>
    <row r="549" spans="1:5" ht="16.5" customHeight="1">
      <c r="A549" s="5"/>
      <c r="B549" s="5"/>
      <c r="C549" s="5"/>
      <c r="D549" s="5"/>
      <c r="E549" s="5"/>
    </row>
    <row r="550" spans="1:5" ht="16.5" customHeight="1">
      <c r="A550" s="5"/>
      <c r="B550" s="5"/>
      <c r="C550" s="5"/>
      <c r="D550" s="5"/>
      <c r="E550" s="5"/>
    </row>
    <row r="551" spans="1:5" ht="16.5" customHeight="1">
      <c r="A551" s="5"/>
      <c r="B551" s="5"/>
      <c r="C551" s="5"/>
      <c r="D551" s="5"/>
      <c r="E551" s="5"/>
    </row>
    <row r="552" spans="1:5" ht="16.5" customHeight="1">
      <c r="A552" s="5"/>
      <c r="B552" s="5"/>
      <c r="C552" s="5"/>
      <c r="D552" s="5"/>
      <c r="E552" s="5"/>
    </row>
    <row r="553" spans="1:5" ht="16.5" customHeight="1">
      <c r="A553" s="5"/>
      <c r="B553" s="5"/>
      <c r="C553" s="5"/>
      <c r="D553" s="5"/>
      <c r="E553" s="5"/>
    </row>
    <row r="554" spans="1:5" ht="16.5" customHeight="1">
      <c r="A554" s="5"/>
      <c r="B554" s="5"/>
      <c r="C554" s="5"/>
      <c r="D554" s="5"/>
      <c r="E554" s="5"/>
    </row>
    <row r="555" spans="1:5" ht="16.5" customHeight="1">
      <c r="A555" s="5"/>
      <c r="B555" s="5"/>
      <c r="C555" s="5"/>
      <c r="D555" s="5"/>
      <c r="E555" s="5"/>
    </row>
    <row r="556" spans="1:5" ht="16.5" customHeight="1">
      <c r="A556" s="5"/>
      <c r="B556" s="5"/>
      <c r="C556" s="5"/>
      <c r="D556" s="5"/>
      <c r="E556" s="5"/>
    </row>
    <row r="557" spans="1:5" ht="16.5" customHeight="1">
      <c r="A557" s="5"/>
      <c r="B557" s="5"/>
      <c r="C557" s="5"/>
      <c r="D557" s="5"/>
      <c r="E557" s="5"/>
    </row>
    <row r="558" spans="1:5" ht="16.5" customHeight="1">
      <c r="A558" s="5"/>
      <c r="B558" s="5"/>
      <c r="C558" s="5"/>
      <c r="D558" s="5"/>
      <c r="E558" s="5"/>
    </row>
    <row r="559" spans="1:5" ht="16.5" customHeight="1">
      <c r="A559" s="5"/>
      <c r="B559" s="5"/>
      <c r="C559" s="5"/>
      <c r="D559" s="5"/>
      <c r="E559" s="5"/>
    </row>
    <row r="560" spans="1:5" ht="16.5" customHeight="1">
      <c r="A560" s="5"/>
      <c r="B560" s="5"/>
      <c r="C560" s="5"/>
      <c r="D560" s="5"/>
      <c r="E560" s="5"/>
    </row>
    <row r="561" spans="1:5" ht="16.5" customHeight="1">
      <c r="A561" s="5"/>
      <c r="B561" s="5"/>
      <c r="C561" s="5"/>
      <c r="D561" s="5"/>
      <c r="E561" s="5"/>
    </row>
    <row r="562" spans="1:5" ht="16.5" customHeight="1">
      <c r="A562" s="5"/>
      <c r="B562" s="5"/>
      <c r="C562" s="5"/>
      <c r="D562" s="5"/>
      <c r="E562" s="5"/>
    </row>
    <row r="563" spans="1:5" ht="16.5" customHeight="1">
      <c r="A563" s="5"/>
      <c r="B563" s="5"/>
      <c r="C563" s="5"/>
      <c r="D563" s="5"/>
      <c r="E563" s="5"/>
    </row>
    <row r="564" spans="1:5" ht="16.5" customHeight="1">
      <c r="A564" s="5"/>
      <c r="B564" s="5"/>
      <c r="C564" s="5"/>
      <c r="D564" s="5"/>
      <c r="E564" s="5"/>
    </row>
    <row r="565" spans="1:5" ht="16.5" customHeight="1">
      <c r="A565" s="5"/>
      <c r="B565" s="5"/>
      <c r="C565" s="5"/>
      <c r="D565" s="5"/>
      <c r="E565" s="5"/>
    </row>
    <row r="566" spans="1:5" ht="16.5" customHeight="1">
      <c r="A566" s="5"/>
      <c r="B566" s="5"/>
      <c r="C566" s="5"/>
      <c r="D566" s="5"/>
      <c r="E566" s="5"/>
    </row>
    <row r="567" spans="1:5" ht="16.5" customHeight="1">
      <c r="A567" s="5"/>
      <c r="B567" s="5"/>
      <c r="C567" s="5"/>
      <c r="D567" s="5"/>
      <c r="E567" s="5"/>
    </row>
    <row r="568" spans="1:5" ht="16.5" customHeight="1">
      <c r="A568" s="5"/>
      <c r="B568" s="5"/>
      <c r="C568" s="5"/>
      <c r="D568" s="5"/>
      <c r="E568" s="5"/>
    </row>
    <row r="569" spans="1:5" ht="16.5" customHeight="1">
      <c r="A569" s="5"/>
      <c r="B569" s="5"/>
      <c r="C569" s="5"/>
      <c r="D569" s="5"/>
      <c r="E569" s="5"/>
    </row>
    <row r="570" spans="1:5" ht="16.5" customHeight="1">
      <c r="A570" s="5"/>
      <c r="B570" s="5"/>
      <c r="C570" s="5"/>
      <c r="D570" s="5"/>
      <c r="E570" s="5"/>
    </row>
    <row r="571" spans="1:5" ht="16.5" customHeight="1">
      <c r="A571" s="5"/>
      <c r="B571" s="5"/>
      <c r="C571" s="5"/>
      <c r="D571" s="5"/>
      <c r="E571" s="5"/>
    </row>
    <row r="572" spans="1:5" ht="16.5" customHeight="1">
      <c r="A572" s="5"/>
      <c r="B572" s="5"/>
      <c r="C572" s="5"/>
      <c r="D572" s="5"/>
      <c r="E572" s="5"/>
    </row>
    <row r="573" spans="1:5" ht="16.5" customHeight="1">
      <c r="A573" s="5"/>
      <c r="B573" s="5"/>
      <c r="C573" s="5"/>
      <c r="D573" s="5"/>
      <c r="E573" s="5"/>
    </row>
    <row r="574" spans="1:5" ht="16.5" customHeight="1">
      <c r="A574" s="5"/>
      <c r="B574" s="5"/>
      <c r="C574" s="5"/>
      <c r="D574" s="5"/>
      <c r="E574" s="5"/>
    </row>
    <row r="575" spans="1:5" ht="16.5" customHeight="1">
      <c r="A575" s="5"/>
      <c r="B575" s="5"/>
      <c r="C575" s="5"/>
      <c r="D575" s="5"/>
      <c r="E575" s="5"/>
    </row>
    <row r="576" spans="1:5" ht="16.5" customHeight="1">
      <c r="A576" s="5"/>
      <c r="B576" s="5"/>
      <c r="C576" s="5"/>
      <c r="D576" s="5"/>
      <c r="E576" s="5"/>
    </row>
    <row r="577" spans="1:5" ht="16.5" customHeight="1">
      <c r="A577" s="5"/>
      <c r="B577" s="5"/>
      <c r="C577" s="5"/>
      <c r="D577" s="5"/>
      <c r="E577" s="5"/>
    </row>
    <row r="578" spans="1:5" ht="16.5" customHeight="1">
      <c r="A578" s="5"/>
      <c r="B578" s="5"/>
      <c r="C578" s="5"/>
      <c r="D578" s="5"/>
      <c r="E578" s="5"/>
    </row>
    <row r="579" spans="1:5" ht="16.5" customHeight="1">
      <c r="A579" s="5"/>
      <c r="B579" s="5"/>
      <c r="C579" s="5"/>
      <c r="D579" s="5"/>
      <c r="E579" s="5"/>
    </row>
    <row r="580" spans="1:5" ht="16.5" customHeight="1">
      <c r="A580" s="5"/>
      <c r="B580" s="5"/>
      <c r="C580" s="5"/>
      <c r="D580" s="5"/>
      <c r="E580" s="5"/>
    </row>
    <row r="581" spans="1:5" ht="16.5" customHeight="1">
      <c r="A581" s="5"/>
      <c r="B581" s="5"/>
      <c r="C581" s="5"/>
      <c r="D581" s="5"/>
      <c r="E581" s="5"/>
    </row>
    <row r="582" spans="1:5" ht="16.5" customHeight="1">
      <c r="A582" s="5"/>
      <c r="B582" s="5"/>
      <c r="C582" s="5"/>
      <c r="D582" s="5"/>
      <c r="E582" s="5"/>
    </row>
    <row r="583" spans="1:5" ht="16.5" customHeight="1">
      <c r="A583" s="5"/>
      <c r="B583" s="5"/>
      <c r="C583" s="5"/>
      <c r="D583" s="5"/>
      <c r="E583" s="5"/>
    </row>
    <row r="584" spans="1:5" ht="16.5" customHeight="1">
      <c r="A584" s="5"/>
      <c r="B584" s="5"/>
      <c r="C584" s="5"/>
      <c r="D584" s="5"/>
      <c r="E584" s="5"/>
    </row>
    <row r="585" spans="1:5" ht="16.5" customHeight="1">
      <c r="A585" s="5"/>
      <c r="B585" s="5"/>
      <c r="C585" s="5"/>
      <c r="D585" s="5"/>
      <c r="E585" s="5"/>
    </row>
    <row r="586" spans="1:5" ht="16.5" customHeight="1">
      <c r="A586" s="5"/>
      <c r="B586" s="5"/>
      <c r="C586" s="5"/>
      <c r="D586" s="5"/>
      <c r="E586" s="5"/>
    </row>
    <row r="587" spans="1:5" ht="16.5" customHeight="1">
      <c r="A587" s="5"/>
      <c r="B587" s="5"/>
      <c r="C587" s="5"/>
      <c r="D587" s="5"/>
      <c r="E587" s="5"/>
    </row>
    <row r="588" spans="1:5" ht="16.5" customHeight="1">
      <c r="A588" s="5"/>
      <c r="B588" s="5"/>
      <c r="C588" s="5"/>
      <c r="D588" s="5"/>
      <c r="E588" s="5"/>
    </row>
    <row r="589" spans="1:5" ht="16.5" customHeight="1">
      <c r="A589" s="5"/>
      <c r="B589" s="5"/>
      <c r="C589" s="5"/>
      <c r="D589" s="5"/>
      <c r="E589" s="5"/>
    </row>
    <row r="590" spans="1:5" ht="16.5" customHeight="1">
      <c r="A590" s="5"/>
      <c r="B590" s="5"/>
      <c r="C590" s="5"/>
      <c r="D590" s="5"/>
      <c r="E590" s="5"/>
    </row>
    <row r="591" spans="1:5" ht="16.5" customHeight="1">
      <c r="A591" s="5"/>
      <c r="B591" s="5"/>
      <c r="C591" s="5"/>
      <c r="D591" s="5"/>
      <c r="E591" s="5"/>
    </row>
    <row r="592" spans="1:5" ht="16.5" customHeight="1">
      <c r="A592" s="5"/>
      <c r="B592" s="5"/>
      <c r="C592" s="5"/>
      <c r="D592" s="5"/>
      <c r="E592" s="5"/>
    </row>
    <row r="593" spans="1:5" ht="16.5" customHeight="1">
      <c r="A593" s="5"/>
      <c r="B593" s="5"/>
      <c r="C593" s="5"/>
      <c r="D593" s="5"/>
      <c r="E593" s="5"/>
    </row>
    <row r="594" spans="1:5" ht="16.5" customHeight="1">
      <c r="A594" s="5"/>
      <c r="B594" s="5"/>
      <c r="C594" s="5"/>
      <c r="D594" s="5"/>
      <c r="E594" s="5"/>
    </row>
    <row r="595" spans="1:5" ht="16.5" customHeight="1">
      <c r="A595" s="5"/>
      <c r="B595" s="5"/>
      <c r="C595" s="5"/>
      <c r="D595" s="5"/>
      <c r="E595" s="5"/>
    </row>
    <row r="596" spans="1:5" ht="16.5" customHeight="1">
      <c r="A596" s="5"/>
      <c r="B596" s="5"/>
      <c r="C596" s="5"/>
      <c r="D596" s="5"/>
      <c r="E596" s="5"/>
    </row>
    <row r="597" spans="1:5" ht="16.5" customHeight="1">
      <c r="A597" s="5"/>
      <c r="B597" s="5"/>
      <c r="C597" s="5"/>
      <c r="D597" s="5"/>
      <c r="E597" s="5"/>
    </row>
    <row r="598" spans="1:5" ht="16.5" customHeight="1">
      <c r="A598" s="5"/>
      <c r="B598" s="5"/>
      <c r="C598" s="5"/>
      <c r="D598" s="5"/>
      <c r="E598" s="5"/>
    </row>
    <row r="599" spans="1:5" ht="16.5" customHeight="1">
      <c r="A599" s="5"/>
      <c r="B599" s="5"/>
      <c r="C599" s="5"/>
      <c r="D599" s="5"/>
      <c r="E599" s="5"/>
    </row>
    <row r="600" spans="1:5" ht="16.5" customHeight="1">
      <c r="A600" s="5"/>
      <c r="B600" s="5"/>
      <c r="C600" s="5"/>
      <c r="D600" s="5"/>
      <c r="E600" s="5"/>
    </row>
    <row r="601" spans="1:5" ht="16.5" customHeight="1">
      <c r="A601" s="5"/>
      <c r="B601" s="5"/>
      <c r="C601" s="5"/>
      <c r="D601" s="5"/>
      <c r="E601" s="5"/>
    </row>
    <row r="602" spans="1:5" ht="16.5" customHeight="1">
      <c r="A602" s="5"/>
      <c r="B602" s="5"/>
      <c r="C602" s="5"/>
      <c r="D602" s="5"/>
      <c r="E602" s="5"/>
    </row>
    <row r="603" spans="1:5" ht="16.5" customHeight="1">
      <c r="A603" s="5"/>
      <c r="B603" s="5"/>
      <c r="C603" s="5"/>
      <c r="D603" s="5"/>
      <c r="E603" s="5"/>
    </row>
    <row r="604" spans="1:5" ht="16.5" customHeight="1">
      <c r="A604" s="5"/>
      <c r="B604" s="5"/>
      <c r="C604" s="5"/>
      <c r="D604" s="5"/>
      <c r="E604" s="5"/>
    </row>
    <row r="605" spans="1:5" ht="16.5" customHeight="1">
      <c r="A605" s="5"/>
      <c r="B605" s="5"/>
      <c r="C605" s="5"/>
      <c r="D605" s="5"/>
      <c r="E605" s="5"/>
    </row>
    <row r="606" spans="1:5" ht="16.5" customHeight="1">
      <c r="A606" s="5"/>
      <c r="B606" s="5"/>
      <c r="C606" s="5"/>
      <c r="D606" s="5"/>
      <c r="E606" s="5"/>
    </row>
    <row r="607" spans="1:5" ht="16.5" customHeight="1">
      <c r="A607" s="5"/>
      <c r="B607" s="5"/>
      <c r="C607" s="5"/>
      <c r="D607" s="5"/>
      <c r="E607" s="5"/>
    </row>
    <row r="608" spans="1:5" ht="16.5" customHeight="1">
      <c r="A608" s="5"/>
      <c r="B608" s="5"/>
      <c r="C608" s="5"/>
      <c r="D608" s="5"/>
      <c r="E608" s="5"/>
    </row>
    <row r="609" spans="1:5" ht="16.5" customHeight="1">
      <c r="A609" s="5"/>
      <c r="B609" s="5"/>
      <c r="C609" s="5"/>
      <c r="D609" s="5"/>
      <c r="E609" s="5"/>
    </row>
    <row r="610" spans="1:5" ht="16.5" customHeight="1">
      <c r="A610" s="5"/>
      <c r="B610" s="5"/>
      <c r="C610" s="5"/>
      <c r="D610" s="5"/>
      <c r="E610" s="5"/>
    </row>
    <row r="611" spans="1:5" ht="16.5" customHeight="1">
      <c r="A611" s="5"/>
      <c r="B611" s="5"/>
      <c r="C611" s="5"/>
      <c r="D611" s="5"/>
      <c r="E611" s="5"/>
    </row>
    <row r="612" spans="1:5" ht="16.5" customHeight="1">
      <c r="A612" s="5"/>
      <c r="B612" s="5"/>
      <c r="C612" s="5"/>
      <c r="D612" s="5"/>
      <c r="E612" s="5"/>
    </row>
    <row r="613" spans="1:5" ht="16.5" customHeight="1">
      <c r="A613" s="5"/>
      <c r="B613" s="5"/>
      <c r="C613" s="5"/>
      <c r="D613" s="5"/>
      <c r="E613" s="5"/>
    </row>
    <row r="614" spans="1:5" ht="16.5" customHeight="1">
      <c r="A614" s="5"/>
      <c r="B614" s="5"/>
      <c r="C614" s="5"/>
      <c r="D614" s="5"/>
      <c r="E614" s="5"/>
    </row>
    <row r="615" spans="1:5" ht="16.5" customHeight="1">
      <c r="A615" s="5"/>
      <c r="B615" s="5"/>
      <c r="C615" s="5"/>
      <c r="D615" s="5"/>
      <c r="E615" s="5"/>
    </row>
    <row r="616" spans="1:5" ht="16.5" customHeight="1">
      <c r="A616" s="5"/>
      <c r="B616" s="5"/>
      <c r="C616" s="5"/>
      <c r="D616" s="5"/>
      <c r="E616" s="5"/>
    </row>
    <row r="617" spans="1:5" ht="16.5" customHeight="1">
      <c r="A617" s="5"/>
      <c r="B617" s="5"/>
      <c r="C617" s="5"/>
      <c r="D617" s="5"/>
      <c r="E617" s="5"/>
    </row>
    <row r="618" spans="1:5" ht="16.5" customHeight="1">
      <c r="A618" s="5"/>
      <c r="B618" s="5"/>
      <c r="C618" s="5"/>
      <c r="D618" s="5"/>
      <c r="E618" s="5"/>
    </row>
    <row r="619" spans="1:5" ht="16.5" customHeight="1">
      <c r="A619" s="5"/>
      <c r="B619" s="5"/>
      <c r="C619" s="5"/>
      <c r="D619" s="5"/>
      <c r="E619" s="5"/>
    </row>
    <row r="620" spans="1:5" ht="16.5" customHeight="1">
      <c r="A620" s="5"/>
      <c r="B620" s="5"/>
      <c r="C620" s="5"/>
      <c r="D620" s="5"/>
      <c r="E620" s="5"/>
    </row>
    <row r="621" spans="1:5" ht="16.5" customHeight="1">
      <c r="A621" s="5"/>
      <c r="B621" s="5"/>
      <c r="C621" s="5"/>
      <c r="D621" s="5"/>
      <c r="E621" s="5"/>
    </row>
    <row r="622" spans="1:5" ht="16.5" customHeight="1">
      <c r="A622" s="5"/>
      <c r="B622" s="5"/>
      <c r="C622" s="5"/>
      <c r="D622" s="5"/>
      <c r="E622" s="5"/>
    </row>
    <row r="623" spans="1:5" ht="16.5" customHeight="1">
      <c r="A623" s="5"/>
      <c r="B623" s="5"/>
      <c r="C623" s="5"/>
      <c r="D623" s="5"/>
      <c r="E623" s="5"/>
    </row>
    <row r="624" spans="1:5" ht="16.5" customHeight="1">
      <c r="A624" s="5"/>
      <c r="B624" s="5"/>
      <c r="C624" s="5"/>
      <c r="D624" s="5"/>
      <c r="E624" s="5"/>
    </row>
    <row r="625" spans="1:5" ht="16.5" customHeight="1">
      <c r="A625" s="5"/>
      <c r="B625" s="5"/>
      <c r="C625" s="5"/>
      <c r="D625" s="5"/>
      <c r="E625" s="5"/>
    </row>
    <row r="626" spans="1:5" ht="16.5" customHeight="1">
      <c r="A626" s="5"/>
      <c r="B626" s="5"/>
      <c r="C626" s="5"/>
      <c r="D626" s="5"/>
      <c r="E626" s="5"/>
    </row>
    <row r="627" spans="1:5" ht="16.5" customHeight="1">
      <c r="A627" s="5"/>
      <c r="B627" s="5"/>
      <c r="C627" s="5"/>
      <c r="D627" s="5"/>
      <c r="E627" s="5"/>
    </row>
    <row r="628" spans="1:5" ht="16.5" customHeight="1">
      <c r="A628" s="5"/>
      <c r="B628" s="5"/>
      <c r="C628" s="5"/>
      <c r="D628" s="5"/>
      <c r="E628" s="5"/>
    </row>
    <row r="629" spans="1:5" ht="16.5" customHeight="1">
      <c r="A629" s="5"/>
      <c r="B629" s="5"/>
      <c r="C629" s="5"/>
      <c r="D629" s="5"/>
      <c r="E629" s="5"/>
    </row>
    <row r="630" spans="1:5" ht="16.5" customHeight="1">
      <c r="A630" s="5"/>
      <c r="B630" s="5"/>
      <c r="C630" s="5"/>
      <c r="D630" s="5"/>
      <c r="E630" s="5"/>
    </row>
    <row r="631" spans="1:5" ht="16.5" customHeight="1">
      <c r="A631" s="5"/>
      <c r="B631" s="5"/>
      <c r="C631" s="5"/>
      <c r="D631" s="5"/>
      <c r="E631" s="5"/>
    </row>
    <row r="632" spans="1:5" ht="16.5" customHeight="1">
      <c r="A632" s="5"/>
      <c r="B632" s="5"/>
      <c r="C632" s="5"/>
      <c r="D632" s="5"/>
      <c r="E632" s="5"/>
    </row>
    <row r="633" spans="1:5" ht="16.5" customHeight="1">
      <c r="A633" s="5"/>
      <c r="B633" s="5"/>
      <c r="C633" s="5"/>
      <c r="D633" s="5"/>
      <c r="E633" s="5"/>
    </row>
    <row r="634" spans="1:5" ht="16.5" customHeight="1">
      <c r="A634" s="5"/>
      <c r="B634" s="5"/>
      <c r="C634" s="5"/>
      <c r="D634" s="5"/>
      <c r="E634" s="5"/>
    </row>
    <row r="635" spans="1:5" ht="16.5" customHeight="1">
      <c r="A635" s="5"/>
      <c r="B635" s="5"/>
      <c r="C635" s="5"/>
      <c r="D635" s="5"/>
      <c r="E635" s="5"/>
    </row>
    <row r="636" spans="1:5" ht="16.5" customHeight="1">
      <c r="A636" s="5"/>
      <c r="B636" s="5"/>
      <c r="C636" s="5"/>
      <c r="D636" s="5"/>
      <c r="E636" s="5"/>
    </row>
    <row r="637" spans="1:5" ht="16.5" customHeight="1">
      <c r="A637" s="5"/>
      <c r="B637" s="5"/>
      <c r="C637" s="5"/>
      <c r="D637" s="5"/>
      <c r="E637" s="5"/>
    </row>
    <row r="638" spans="1:5" ht="16.5" customHeight="1">
      <c r="A638" s="5"/>
      <c r="B638" s="5"/>
      <c r="C638" s="5"/>
      <c r="D638" s="5"/>
      <c r="E638" s="5"/>
    </row>
    <row r="639" spans="1:5" ht="16.5" customHeight="1">
      <c r="A639" s="5"/>
      <c r="B639" s="5"/>
      <c r="C639" s="5"/>
      <c r="D639" s="5"/>
      <c r="E639" s="5"/>
    </row>
    <row r="640" spans="1:5" ht="16.5" customHeight="1">
      <c r="A640" s="5"/>
      <c r="B640" s="5"/>
      <c r="C640" s="5"/>
      <c r="D640" s="5"/>
      <c r="E640" s="5"/>
    </row>
    <row r="641" spans="1:5" ht="16.5" customHeight="1">
      <c r="A641" s="5"/>
      <c r="B641" s="5"/>
      <c r="C641" s="5"/>
      <c r="D641" s="5"/>
      <c r="E641" s="5"/>
    </row>
    <row r="642" spans="1:5" ht="16.5" customHeight="1">
      <c r="A642" s="5"/>
      <c r="B642" s="5"/>
      <c r="C642" s="5"/>
      <c r="D642" s="5"/>
      <c r="E642" s="5"/>
    </row>
    <row r="643" spans="1:5" ht="16.5" customHeight="1">
      <c r="A643" s="5"/>
      <c r="B643" s="5"/>
      <c r="C643" s="5"/>
      <c r="D643" s="5"/>
      <c r="E643" s="5"/>
    </row>
    <row r="644" spans="1:5" ht="16.5" customHeight="1">
      <c r="A644" s="5"/>
      <c r="B644" s="5"/>
      <c r="C644" s="5"/>
      <c r="D644" s="5"/>
      <c r="E644" s="5"/>
    </row>
    <row r="645" spans="1:5" ht="16.5" customHeight="1">
      <c r="A645" s="5"/>
      <c r="B645" s="5"/>
      <c r="C645" s="5"/>
      <c r="D645" s="5"/>
      <c r="E645" s="5"/>
    </row>
    <row r="646" spans="1:5" ht="16.5" customHeight="1">
      <c r="A646" s="5"/>
      <c r="B646" s="5"/>
      <c r="C646" s="5"/>
      <c r="D646" s="5"/>
      <c r="E646" s="5"/>
    </row>
    <row r="647" spans="1:5" ht="16.5" customHeight="1">
      <c r="A647" s="5"/>
      <c r="B647" s="5"/>
      <c r="C647" s="5"/>
      <c r="D647" s="5"/>
      <c r="E647" s="5"/>
    </row>
    <row r="648" spans="1:5" ht="16.5" customHeight="1">
      <c r="A648" s="5"/>
      <c r="B648" s="5"/>
      <c r="C648" s="5"/>
      <c r="D648" s="5"/>
      <c r="E648" s="5"/>
    </row>
    <row r="649" spans="1:5" ht="16.5" customHeight="1">
      <c r="A649" s="5"/>
      <c r="B649" s="5"/>
      <c r="C649" s="5"/>
      <c r="D649" s="5"/>
      <c r="E649" s="5"/>
    </row>
    <row r="650" spans="1:5" ht="16.5" customHeight="1">
      <c r="A650" s="5"/>
      <c r="B650" s="5"/>
      <c r="C650" s="5"/>
      <c r="D650" s="5"/>
      <c r="E650" s="5"/>
    </row>
    <row r="651" spans="1:5" ht="16.5" customHeight="1">
      <c r="A651" s="5"/>
      <c r="B651" s="5"/>
      <c r="C651" s="5"/>
      <c r="D651" s="5"/>
      <c r="E651" s="5"/>
    </row>
    <row r="652" spans="1:5" ht="16.5" customHeight="1">
      <c r="A652" s="5"/>
      <c r="B652" s="5"/>
      <c r="C652" s="5"/>
      <c r="D652" s="5"/>
      <c r="E652" s="5"/>
    </row>
    <row r="653" spans="1:5" ht="16.5" customHeight="1">
      <c r="A653" s="5"/>
      <c r="B653" s="5"/>
      <c r="C653" s="5"/>
      <c r="D653" s="5"/>
      <c r="E653" s="5"/>
    </row>
    <row r="654" spans="1:5" ht="16.5" customHeight="1">
      <c r="A654" s="5"/>
      <c r="B654" s="5"/>
      <c r="C654" s="5"/>
      <c r="D654" s="5"/>
      <c r="E654" s="5"/>
    </row>
    <row r="655" spans="1:5" ht="16.5" customHeight="1">
      <c r="A655" s="5"/>
      <c r="B655" s="5"/>
      <c r="C655" s="5"/>
      <c r="D655" s="5"/>
      <c r="E655" s="5"/>
    </row>
    <row r="656" spans="1:5" ht="16.5" customHeight="1">
      <c r="A656" s="5"/>
      <c r="B656" s="5"/>
      <c r="C656" s="5"/>
      <c r="D656" s="5"/>
      <c r="E656" s="5"/>
    </row>
    <row r="657" spans="1:5" ht="16.5" customHeight="1">
      <c r="A657" s="5"/>
      <c r="B657" s="5"/>
      <c r="C657" s="5"/>
      <c r="D657" s="5"/>
      <c r="E657" s="5"/>
    </row>
    <row r="658" spans="1:5" ht="16.5" customHeight="1">
      <c r="A658" s="5"/>
      <c r="B658" s="5"/>
      <c r="C658" s="5"/>
      <c r="D658" s="5"/>
      <c r="E658" s="5"/>
    </row>
    <row r="659" spans="1:5" ht="16.5" customHeight="1">
      <c r="A659" s="5"/>
      <c r="B659" s="5"/>
      <c r="C659" s="5"/>
      <c r="D659" s="5"/>
      <c r="E659" s="5"/>
    </row>
    <row r="660" spans="1:5" ht="16.5" customHeight="1">
      <c r="A660" s="5"/>
      <c r="B660" s="5"/>
      <c r="C660" s="5"/>
      <c r="D660" s="5"/>
      <c r="E660" s="5"/>
    </row>
    <row r="661" spans="1:5" ht="16.5" customHeight="1">
      <c r="A661" s="5"/>
      <c r="B661" s="5"/>
      <c r="C661" s="5"/>
      <c r="D661" s="5"/>
      <c r="E661" s="5"/>
    </row>
    <row r="662" spans="1:5" ht="16.5" customHeight="1">
      <c r="A662" s="5"/>
      <c r="B662" s="5"/>
      <c r="C662" s="5"/>
      <c r="D662" s="5"/>
      <c r="E662" s="5"/>
    </row>
    <row r="663" spans="1:5" ht="16.5" customHeight="1">
      <c r="A663" s="5"/>
      <c r="B663" s="5"/>
      <c r="C663" s="5"/>
      <c r="D663" s="5"/>
      <c r="E663" s="5"/>
    </row>
    <row r="664" spans="1:5" ht="16.5" customHeight="1">
      <c r="A664" s="5"/>
      <c r="B664" s="5"/>
      <c r="C664" s="5"/>
      <c r="D664" s="5"/>
      <c r="E664" s="5"/>
    </row>
    <row r="665" spans="1:5" ht="16.5" customHeight="1">
      <c r="A665" s="5"/>
      <c r="B665" s="5"/>
      <c r="C665" s="5"/>
      <c r="D665" s="5"/>
      <c r="E665" s="5"/>
    </row>
    <row r="666" spans="1:5" ht="16.5" customHeight="1">
      <c r="A666" s="5"/>
      <c r="B666" s="5"/>
      <c r="C666" s="5"/>
      <c r="D666" s="5"/>
      <c r="E666" s="5"/>
    </row>
    <row r="667" spans="1:5" ht="16.5" customHeight="1">
      <c r="A667" s="5"/>
      <c r="B667" s="5"/>
      <c r="C667" s="5"/>
      <c r="D667" s="5"/>
      <c r="E667" s="5"/>
    </row>
    <row r="668" spans="1:5" ht="16.5" customHeight="1">
      <c r="A668" s="5"/>
      <c r="B668" s="5"/>
      <c r="C668" s="5"/>
      <c r="D668" s="5"/>
      <c r="E668" s="5"/>
    </row>
    <row r="669" spans="1:5" ht="16.5" customHeight="1">
      <c r="A669" s="5"/>
      <c r="B669" s="5"/>
      <c r="C669" s="5"/>
      <c r="D669" s="5"/>
      <c r="E669" s="5"/>
    </row>
    <row r="670" spans="1:5" ht="16.5" customHeight="1">
      <c r="A670" s="5"/>
      <c r="B670" s="5"/>
      <c r="C670" s="5"/>
      <c r="D670" s="5"/>
      <c r="E670" s="5"/>
    </row>
    <row r="671" spans="1:5" ht="16.5" customHeight="1">
      <c r="A671" s="5"/>
      <c r="B671" s="5"/>
      <c r="C671" s="5"/>
      <c r="D671" s="5"/>
      <c r="E671" s="5"/>
    </row>
    <row r="672" spans="1:5" ht="16.5" customHeight="1">
      <c r="A672" s="5"/>
      <c r="B672" s="5"/>
      <c r="C672" s="5"/>
      <c r="D672" s="5"/>
      <c r="E672" s="5"/>
    </row>
    <row r="673" spans="1:5" ht="16.5" customHeight="1">
      <c r="A673" s="5"/>
      <c r="B673" s="5"/>
      <c r="C673" s="5"/>
      <c r="D673" s="5"/>
      <c r="E673" s="5"/>
    </row>
    <row r="674" spans="1:5" ht="16.5" customHeight="1">
      <c r="A674" s="5"/>
      <c r="B674" s="5"/>
      <c r="C674" s="5"/>
      <c r="D674" s="5"/>
      <c r="E674" s="5"/>
    </row>
    <row r="675" spans="1:5" ht="16.5" customHeight="1">
      <c r="A675" s="5"/>
      <c r="B675" s="5"/>
      <c r="C675" s="5"/>
      <c r="D675" s="5"/>
      <c r="E675" s="5"/>
    </row>
    <row r="676" spans="1:5" ht="16.5" customHeight="1">
      <c r="A676" s="5"/>
      <c r="B676" s="5"/>
      <c r="C676" s="5"/>
      <c r="D676" s="5"/>
      <c r="E676" s="5"/>
    </row>
    <row r="677" spans="1:5" ht="16.5" customHeight="1">
      <c r="A677" s="5"/>
      <c r="B677" s="5"/>
      <c r="C677" s="5"/>
      <c r="D677" s="5"/>
      <c r="E677" s="5"/>
    </row>
    <row r="678" spans="1:5" ht="16.5" customHeight="1">
      <c r="A678" s="5"/>
      <c r="B678" s="5"/>
      <c r="C678" s="5"/>
      <c r="D678" s="5"/>
      <c r="E678" s="5"/>
    </row>
    <row r="679" spans="1:5" ht="16.5" customHeight="1">
      <c r="A679" s="5"/>
      <c r="B679" s="5"/>
      <c r="C679" s="5"/>
      <c r="D679" s="5"/>
      <c r="E679" s="5"/>
    </row>
    <row r="680" spans="1:5" ht="16.5" customHeight="1">
      <c r="A680" s="5"/>
      <c r="B680" s="5"/>
      <c r="C680" s="5"/>
      <c r="D680" s="5"/>
      <c r="E680" s="5"/>
    </row>
    <row r="681" spans="1:5" ht="16.5" customHeight="1">
      <c r="A681" s="5"/>
      <c r="B681" s="5"/>
      <c r="C681" s="5"/>
      <c r="D681" s="5"/>
      <c r="E681" s="5"/>
    </row>
    <row r="682" spans="1:5" ht="16.5" customHeight="1">
      <c r="A682" s="5"/>
      <c r="B682" s="5"/>
      <c r="C682" s="5"/>
      <c r="D682" s="5"/>
      <c r="E682" s="5"/>
    </row>
    <row r="683" spans="1:5" ht="16.5" customHeight="1">
      <c r="A683" s="5"/>
      <c r="B683" s="5"/>
      <c r="C683" s="5"/>
      <c r="D683" s="5"/>
      <c r="E683" s="5"/>
    </row>
    <row r="684" spans="1:5" ht="16.5" customHeight="1">
      <c r="A684" s="5"/>
      <c r="B684" s="5"/>
      <c r="C684" s="5"/>
      <c r="D684" s="5"/>
      <c r="E684" s="5"/>
    </row>
    <row r="685" spans="1:5" ht="16.5" customHeight="1">
      <c r="A685" s="5"/>
      <c r="B685" s="5"/>
      <c r="C685" s="5"/>
      <c r="D685" s="5"/>
      <c r="E685" s="5"/>
    </row>
    <row r="686" spans="1:5" ht="16.5" customHeight="1">
      <c r="A686" s="5"/>
      <c r="B686" s="5"/>
      <c r="C686" s="5"/>
      <c r="D686" s="5"/>
      <c r="E686" s="5"/>
    </row>
    <row r="687" spans="1:5" ht="16.5" customHeight="1">
      <c r="A687" s="5"/>
      <c r="B687" s="5"/>
      <c r="C687" s="5"/>
      <c r="D687" s="5"/>
      <c r="E687" s="5"/>
    </row>
    <row r="688" spans="1:5" ht="16.5" customHeight="1">
      <c r="A688" s="5"/>
      <c r="B688" s="5"/>
      <c r="C688" s="5"/>
      <c r="D688" s="5"/>
      <c r="E688" s="5"/>
    </row>
    <row r="689" spans="1:5" ht="16.5" customHeight="1">
      <c r="A689" s="5"/>
      <c r="B689" s="5"/>
      <c r="C689" s="5"/>
      <c r="D689" s="5"/>
      <c r="E689" s="5"/>
    </row>
    <row r="690" spans="1:5" ht="16.5" customHeight="1">
      <c r="A690" s="5"/>
      <c r="B690" s="5"/>
      <c r="C690" s="5"/>
      <c r="D690" s="5"/>
      <c r="E690" s="5"/>
    </row>
    <row r="691" spans="1:5" ht="16.5" customHeight="1">
      <c r="A691" s="5"/>
      <c r="B691" s="5"/>
      <c r="C691" s="5"/>
      <c r="D691" s="5"/>
      <c r="E691" s="5"/>
    </row>
    <row r="692" spans="1:5" ht="16.5" customHeight="1">
      <c r="A692" s="5"/>
      <c r="B692" s="5"/>
      <c r="C692" s="5"/>
      <c r="D692" s="5"/>
      <c r="E692" s="5"/>
    </row>
    <row r="693" spans="1:5" ht="16.5" customHeight="1">
      <c r="A693" s="5"/>
      <c r="B693" s="5"/>
      <c r="C693" s="5"/>
      <c r="D693" s="5"/>
      <c r="E693" s="5"/>
    </row>
    <row r="694" spans="1:5" ht="16.5" customHeight="1">
      <c r="A694" s="5"/>
      <c r="B694" s="5"/>
      <c r="C694" s="5"/>
      <c r="D694" s="5"/>
      <c r="E694" s="5"/>
    </row>
    <row r="695" spans="1:5" ht="16.5" customHeight="1">
      <c r="A695" s="5"/>
      <c r="B695" s="5"/>
      <c r="C695" s="5"/>
      <c r="D695" s="5"/>
      <c r="E695" s="5"/>
    </row>
    <row r="696" spans="1:5" ht="16.5" customHeight="1">
      <c r="A696" s="5"/>
      <c r="B696" s="5"/>
      <c r="C696" s="5"/>
      <c r="D696" s="5"/>
      <c r="E696" s="5"/>
    </row>
    <row r="697" spans="1:5" ht="16.5" customHeight="1">
      <c r="A697" s="5"/>
      <c r="B697" s="5"/>
      <c r="C697" s="5"/>
      <c r="D697" s="5"/>
      <c r="E697" s="5"/>
    </row>
    <row r="698" spans="1:5" ht="16.5" customHeight="1">
      <c r="A698" s="5"/>
      <c r="B698" s="5"/>
      <c r="C698" s="5"/>
      <c r="D698" s="5"/>
      <c r="E698" s="5"/>
    </row>
    <row r="699" spans="1:5" ht="16.5" customHeight="1">
      <c r="A699" s="5"/>
      <c r="B699" s="5"/>
      <c r="C699" s="5"/>
      <c r="D699" s="5"/>
      <c r="E699" s="5"/>
    </row>
    <row r="700" spans="1:5" ht="16.5" customHeight="1">
      <c r="A700" s="5"/>
      <c r="B700" s="5"/>
      <c r="C700" s="5"/>
      <c r="D700" s="5"/>
      <c r="E700" s="5"/>
    </row>
    <row r="701" spans="1:5" ht="16.5" customHeight="1">
      <c r="A701" s="5"/>
      <c r="B701" s="5"/>
      <c r="C701" s="5"/>
      <c r="D701" s="5"/>
      <c r="E701" s="5"/>
    </row>
    <row r="702" spans="1:5" ht="16.5" customHeight="1">
      <c r="A702" s="5"/>
      <c r="B702" s="5"/>
      <c r="C702" s="5"/>
      <c r="D702" s="5"/>
      <c r="E702" s="5"/>
    </row>
    <row r="703" spans="1:5" ht="16.5" customHeight="1">
      <c r="A703" s="5"/>
      <c r="B703" s="5"/>
      <c r="C703" s="5"/>
      <c r="D703" s="5"/>
      <c r="E703" s="5"/>
    </row>
    <row r="704" spans="1:5" ht="16.5" customHeight="1">
      <c r="A704" s="5"/>
      <c r="B704" s="5"/>
      <c r="C704" s="5"/>
      <c r="D704" s="5"/>
      <c r="E704" s="5"/>
    </row>
    <row r="705" spans="1:5" ht="16.5" customHeight="1">
      <c r="A705" s="5"/>
      <c r="B705" s="5"/>
      <c r="C705" s="5"/>
      <c r="D705" s="5"/>
      <c r="E705" s="5"/>
    </row>
    <row r="706" spans="1:5" ht="16.5" customHeight="1">
      <c r="A706" s="5"/>
      <c r="B706" s="5"/>
      <c r="C706" s="5"/>
      <c r="D706" s="5"/>
      <c r="E706" s="5"/>
    </row>
    <row r="707" spans="1:5" ht="16.5" customHeight="1">
      <c r="A707" s="5"/>
      <c r="B707" s="5"/>
      <c r="C707" s="5"/>
      <c r="D707" s="5"/>
      <c r="E707" s="5"/>
    </row>
    <row r="708" spans="1:5" ht="16.5" customHeight="1">
      <c r="A708" s="5"/>
      <c r="B708" s="5"/>
      <c r="C708" s="5"/>
      <c r="D708" s="5"/>
      <c r="E708" s="5"/>
    </row>
    <row r="709" spans="1:5" ht="16.5" customHeight="1">
      <c r="A709" s="5"/>
      <c r="B709" s="5"/>
      <c r="C709" s="5"/>
      <c r="D709" s="5"/>
      <c r="E709" s="5"/>
    </row>
    <row r="710" spans="1:5" ht="16.5" customHeight="1">
      <c r="A710" s="5"/>
      <c r="B710" s="5"/>
      <c r="C710" s="5"/>
      <c r="D710" s="5"/>
      <c r="E710" s="5"/>
    </row>
    <row r="711" spans="1:5" ht="16.5" customHeight="1">
      <c r="A711" s="5"/>
      <c r="B711" s="5"/>
      <c r="C711" s="5"/>
      <c r="D711" s="5"/>
      <c r="E711" s="5"/>
    </row>
    <row r="712" spans="1:5" ht="16.5" customHeight="1">
      <c r="A712" s="5"/>
      <c r="B712" s="5"/>
      <c r="C712" s="5"/>
      <c r="D712" s="5"/>
      <c r="E712" s="5"/>
    </row>
    <row r="713" spans="1:5" ht="16.5" customHeight="1">
      <c r="A713" s="5"/>
      <c r="B713" s="5"/>
      <c r="C713" s="5"/>
      <c r="D713" s="5"/>
      <c r="E713" s="5"/>
    </row>
    <row r="714" spans="1:5" ht="16.5" customHeight="1">
      <c r="A714" s="5"/>
      <c r="B714" s="5"/>
      <c r="C714" s="5"/>
      <c r="D714" s="5"/>
      <c r="E714" s="5"/>
    </row>
    <row r="715" spans="1:5" ht="16.5" customHeight="1">
      <c r="A715" s="5"/>
      <c r="B715" s="5"/>
      <c r="C715" s="5"/>
      <c r="D715" s="5"/>
      <c r="E715" s="5"/>
    </row>
    <row r="716" spans="1:5" ht="16.5" customHeight="1">
      <c r="A716" s="5"/>
      <c r="B716" s="5"/>
      <c r="C716" s="5"/>
      <c r="D716" s="5"/>
      <c r="E716" s="5"/>
    </row>
    <row r="717" spans="1:5" ht="16.5" customHeight="1">
      <c r="A717" s="5"/>
      <c r="B717" s="5"/>
      <c r="C717" s="5"/>
      <c r="D717" s="5"/>
      <c r="E717" s="5"/>
    </row>
    <row r="718" spans="1:5" ht="16.5" customHeight="1">
      <c r="A718" s="5"/>
      <c r="B718" s="5"/>
      <c r="C718" s="5"/>
      <c r="D718" s="5"/>
      <c r="E718" s="5"/>
    </row>
    <row r="719" spans="1:5" ht="16.5" customHeight="1">
      <c r="A719" s="5"/>
      <c r="B719" s="5"/>
      <c r="C719" s="5"/>
      <c r="D719" s="5"/>
      <c r="E719" s="5"/>
    </row>
    <row r="720" spans="1:5" ht="16.5" customHeight="1">
      <c r="A720" s="5"/>
      <c r="B720" s="5"/>
      <c r="C720" s="5"/>
      <c r="D720" s="5"/>
      <c r="E720" s="5"/>
    </row>
    <row r="721" spans="1:5" ht="16.5" customHeight="1">
      <c r="A721" s="5"/>
      <c r="B721" s="5"/>
      <c r="C721" s="5"/>
      <c r="D721" s="5"/>
      <c r="E721" s="5"/>
    </row>
    <row r="722" spans="1:5" ht="16.5" customHeight="1">
      <c r="A722" s="5"/>
      <c r="B722" s="5"/>
      <c r="C722" s="5"/>
      <c r="D722" s="5"/>
      <c r="E722" s="5"/>
    </row>
    <row r="723" spans="1:5" ht="16.5" customHeight="1">
      <c r="A723" s="5"/>
      <c r="B723" s="5"/>
      <c r="C723" s="5"/>
      <c r="D723" s="5"/>
      <c r="E723" s="5"/>
    </row>
    <row r="724" spans="1:5" ht="16.5" customHeight="1">
      <c r="A724" s="5"/>
      <c r="B724" s="5"/>
      <c r="C724" s="5"/>
      <c r="D724" s="5"/>
      <c r="E724" s="5"/>
    </row>
    <row r="725" spans="1:5" ht="16.5" customHeight="1">
      <c r="A725" s="5"/>
      <c r="B725" s="5"/>
      <c r="C725" s="5"/>
      <c r="D725" s="5"/>
      <c r="E725" s="5"/>
    </row>
    <row r="726" spans="1:5" ht="16.5" customHeight="1">
      <c r="A726" s="5"/>
      <c r="B726" s="5"/>
      <c r="C726" s="5"/>
      <c r="D726" s="5"/>
      <c r="E726" s="5"/>
    </row>
    <row r="727" spans="1:5" ht="16.5" customHeight="1">
      <c r="A727" s="5"/>
      <c r="B727" s="5"/>
      <c r="C727" s="5"/>
      <c r="D727" s="5"/>
      <c r="E727" s="5"/>
    </row>
    <row r="728" spans="1:5" ht="16.5" customHeight="1">
      <c r="A728" s="5"/>
      <c r="B728" s="5"/>
      <c r="C728" s="5"/>
      <c r="D728" s="5"/>
      <c r="E728" s="5"/>
    </row>
    <row r="729" spans="1:5" ht="16.5" customHeight="1">
      <c r="A729" s="5"/>
      <c r="B729" s="5"/>
      <c r="C729" s="5"/>
      <c r="D729" s="5"/>
      <c r="E729" s="5"/>
    </row>
    <row r="730" spans="1:5" ht="16.5" customHeight="1">
      <c r="A730" s="5"/>
      <c r="B730" s="5"/>
      <c r="C730" s="5"/>
      <c r="D730" s="5"/>
      <c r="E730" s="5"/>
    </row>
    <row r="731" spans="1:5" ht="16.5" customHeight="1">
      <c r="A731" s="5"/>
      <c r="B731" s="5"/>
      <c r="C731" s="5"/>
      <c r="D731" s="5"/>
      <c r="E731" s="5"/>
    </row>
    <row r="732" spans="1:5" ht="16.5" customHeight="1">
      <c r="A732" s="5"/>
      <c r="B732" s="5"/>
      <c r="C732" s="5"/>
      <c r="D732" s="5"/>
      <c r="E732" s="5"/>
    </row>
    <row r="733" spans="1:5" ht="16.5" customHeight="1">
      <c r="A733" s="5"/>
      <c r="B733" s="5"/>
      <c r="C733" s="5"/>
      <c r="D733" s="5"/>
      <c r="E733" s="5"/>
    </row>
    <row r="734" spans="1:5" ht="16.5" customHeight="1">
      <c r="A734" s="5"/>
      <c r="B734" s="5"/>
      <c r="C734" s="5"/>
      <c r="D734" s="5"/>
      <c r="E734" s="5"/>
    </row>
    <row r="735" spans="1:5" ht="16.5" customHeight="1">
      <c r="A735" s="5"/>
      <c r="B735" s="5"/>
      <c r="C735" s="5"/>
      <c r="D735" s="5"/>
      <c r="E735" s="5"/>
    </row>
    <row r="736" spans="1:5" ht="16.5" customHeight="1">
      <c r="A736" s="5"/>
      <c r="B736" s="5"/>
      <c r="C736" s="5"/>
      <c r="D736" s="5"/>
      <c r="E736" s="5"/>
    </row>
    <row r="737" spans="1:5" ht="16.5" customHeight="1">
      <c r="A737" s="5"/>
      <c r="B737" s="5"/>
      <c r="C737" s="5"/>
      <c r="D737" s="5"/>
      <c r="E737" s="5"/>
    </row>
    <row r="738" spans="1:5" ht="16.5" customHeight="1">
      <c r="A738" s="5"/>
      <c r="B738" s="5"/>
      <c r="C738" s="5"/>
      <c r="D738" s="5"/>
      <c r="E738" s="5"/>
    </row>
    <row r="739" spans="1:5" ht="16.5" customHeight="1">
      <c r="A739" s="5"/>
      <c r="B739" s="5"/>
      <c r="C739" s="5"/>
      <c r="D739" s="5"/>
      <c r="E739" s="5"/>
    </row>
    <row r="740" spans="1:5" ht="16.5" customHeight="1">
      <c r="A740" s="5"/>
      <c r="B740" s="5"/>
      <c r="C740" s="5"/>
      <c r="D740" s="5"/>
      <c r="E740" s="5"/>
    </row>
    <row r="741" spans="1:5" ht="16.5" customHeight="1">
      <c r="A741" s="5"/>
      <c r="B741" s="5"/>
      <c r="C741" s="5"/>
      <c r="D741" s="5"/>
      <c r="E741" s="5"/>
    </row>
    <row r="742" spans="1:5" ht="16.5" customHeight="1">
      <c r="A742" s="5"/>
      <c r="B742" s="5"/>
      <c r="C742" s="5"/>
      <c r="D742" s="5"/>
      <c r="E742" s="5"/>
    </row>
    <row r="743" spans="1:5" ht="16.5" customHeight="1">
      <c r="A743" s="5"/>
      <c r="B743" s="5"/>
      <c r="C743" s="5"/>
      <c r="D743" s="5"/>
      <c r="E743" s="5"/>
    </row>
    <row r="744" spans="1:5" ht="16.5" customHeight="1">
      <c r="A744" s="5"/>
      <c r="B744" s="5"/>
      <c r="C744" s="5"/>
      <c r="D744" s="5"/>
      <c r="E744" s="5"/>
    </row>
    <row r="745" spans="1:5" ht="16.5" customHeight="1">
      <c r="A745" s="5"/>
      <c r="B745" s="5"/>
      <c r="C745" s="5"/>
      <c r="D745" s="5"/>
      <c r="E745" s="5"/>
    </row>
    <row r="746" spans="1:5" ht="16.5" customHeight="1">
      <c r="A746" s="5"/>
      <c r="B746" s="5"/>
      <c r="C746" s="5"/>
      <c r="D746" s="5"/>
      <c r="E746" s="5"/>
    </row>
    <row r="747" spans="1:5" ht="16.5" customHeight="1">
      <c r="A747" s="5"/>
      <c r="B747" s="5"/>
      <c r="C747" s="5"/>
      <c r="D747" s="5"/>
      <c r="E747" s="5"/>
    </row>
    <row r="748" spans="1:5" ht="16.5" customHeight="1">
      <c r="A748" s="5"/>
      <c r="B748" s="5"/>
      <c r="C748" s="5"/>
      <c r="D748" s="5"/>
      <c r="E748" s="5"/>
    </row>
    <row r="749" spans="1:5" ht="16.5" customHeight="1">
      <c r="A749" s="5"/>
      <c r="B749" s="5"/>
      <c r="C749" s="5"/>
      <c r="D749" s="5"/>
      <c r="E749" s="5"/>
    </row>
    <row r="750" spans="1:5" ht="16.5" customHeight="1">
      <c r="A750" s="5"/>
      <c r="B750" s="5"/>
      <c r="C750" s="5"/>
      <c r="D750" s="5"/>
      <c r="E750" s="5"/>
    </row>
    <row r="751" spans="1:5" ht="16.5" customHeight="1">
      <c r="A751" s="5"/>
      <c r="B751" s="5"/>
      <c r="C751" s="5"/>
      <c r="D751" s="5"/>
      <c r="E751" s="5"/>
    </row>
    <row r="752" spans="1:5" ht="16.5" customHeight="1">
      <c r="A752" s="5"/>
      <c r="B752" s="5"/>
      <c r="C752" s="5"/>
      <c r="D752" s="5"/>
      <c r="E752" s="5"/>
    </row>
    <row r="753" spans="1:5" ht="16.5" customHeight="1">
      <c r="A753" s="5"/>
      <c r="B753" s="5"/>
      <c r="C753" s="5"/>
      <c r="D753" s="5"/>
      <c r="E753" s="5"/>
    </row>
    <row r="754" spans="1:5" ht="16.5" customHeight="1">
      <c r="A754" s="5"/>
      <c r="B754" s="5"/>
      <c r="C754" s="5"/>
      <c r="D754" s="5"/>
      <c r="E754" s="5"/>
    </row>
    <row r="755" spans="1:5" ht="16.5" customHeight="1">
      <c r="A755" s="5"/>
      <c r="B755" s="5"/>
      <c r="C755" s="5"/>
      <c r="D755" s="5"/>
      <c r="E755" s="5"/>
    </row>
    <row r="756" spans="1:5" ht="16.5" customHeight="1">
      <c r="A756" s="5"/>
      <c r="B756" s="5"/>
      <c r="C756" s="5"/>
      <c r="D756" s="5"/>
      <c r="E756" s="5"/>
    </row>
    <row r="757" spans="1:5" ht="16.5" customHeight="1">
      <c r="A757" s="5"/>
      <c r="B757" s="5"/>
      <c r="C757" s="5"/>
      <c r="D757" s="5"/>
      <c r="E757" s="5"/>
    </row>
    <row r="758" spans="1:5" ht="16.5" customHeight="1">
      <c r="A758" s="5"/>
      <c r="B758" s="5"/>
      <c r="C758" s="5"/>
      <c r="D758" s="5"/>
      <c r="E758" s="5"/>
    </row>
    <row r="759" spans="1:5" ht="16.5" customHeight="1">
      <c r="A759" s="5"/>
      <c r="B759" s="5"/>
      <c r="C759" s="5"/>
      <c r="D759" s="5"/>
      <c r="E759" s="5"/>
    </row>
    <row r="760" spans="1:5" ht="16.5" customHeight="1">
      <c r="A760" s="5"/>
      <c r="B760" s="5"/>
      <c r="C760" s="5"/>
      <c r="D760" s="5"/>
      <c r="E760" s="5"/>
    </row>
    <row r="761" spans="1:5" ht="16.5" customHeight="1">
      <c r="A761" s="5"/>
      <c r="B761" s="5"/>
      <c r="C761" s="5"/>
      <c r="D761" s="5"/>
      <c r="E761" s="5"/>
    </row>
    <row r="762" spans="1:5" ht="16.5" customHeight="1">
      <c r="A762" s="5"/>
      <c r="B762" s="5"/>
      <c r="C762" s="5"/>
      <c r="D762" s="5"/>
      <c r="E762" s="5"/>
    </row>
    <row r="763" spans="1:5" ht="16.5" customHeight="1">
      <c r="A763" s="5"/>
      <c r="B763" s="5"/>
      <c r="C763" s="5"/>
      <c r="D763" s="5"/>
      <c r="E763" s="5"/>
    </row>
    <row r="764" spans="1:5" ht="16.5" customHeight="1">
      <c r="A764" s="5"/>
      <c r="B764" s="5"/>
      <c r="C764" s="5"/>
      <c r="D764" s="5"/>
      <c r="E764" s="5"/>
    </row>
    <row r="765" spans="1:5" ht="16.5" customHeight="1">
      <c r="A765" s="5"/>
      <c r="B765" s="5"/>
      <c r="C765" s="5"/>
      <c r="D765" s="5"/>
      <c r="E765" s="5"/>
    </row>
    <row r="766" spans="1:5" ht="16.5" customHeight="1">
      <c r="A766" s="5"/>
      <c r="B766" s="5"/>
      <c r="C766" s="5"/>
      <c r="D766" s="5"/>
      <c r="E766" s="5"/>
    </row>
    <row r="767" spans="1:5" ht="16.5" customHeight="1">
      <c r="A767" s="5"/>
      <c r="B767" s="5"/>
      <c r="C767" s="5"/>
      <c r="D767" s="5"/>
      <c r="E767" s="5"/>
    </row>
    <row r="768" spans="1:5" ht="16.5" customHeight="1">
      <c r="A768" s="5"/>
      <c r="B768" s="5"/>
      <c r="C768" s="5"/>
      <c r="D768" s="5"/>
      <c r="E768" s="5"/>
    </row>
    <row r="769" spans="1:5" ht="16.5" customHeight="1">
      <c r="A769" s="5"/>
      <c r="B769" s="5"/>
      <c r="C769" s="5"/>
      <c r="D769" s="5"/>
      <c r="E769" s="5"/>
    </row>
    <row r="770" spans="1:5" ht="16.5" customHeight="1">
      <c r="A770" s="5"/>
      <c r="B770" s="5"/>
      <c r="C770" s="5"/>
      <c r="D770" s="5"/>
      <c r="E770" s="5"/>
    </row>
    <row r="771" spans="1:5" ht="16.5" customHeight="1">
      <c r="A771" s="5"/>
      <c r="B771" s="5"/>
      <c r="C771" s="5"/>
      <c r="D771" s="5"/>
      <c r="E771" s="5"/>
    </row>
    <row r="772" spans="1:5" ht="16.5" customHeight="1">
      <c r="A772" s="5"/>
      <c r="B772" s="5"/>
      <c r="C772" s="5"/>
      <c r="D772" s="5"/>
      <c r="E772" s="5"/>
    </row>
    <row r="773" spans="1:5" ht="16.5" customHeight="1">
      <c r="A773" s="5"/>
      <c r="B773" s="5"/>
      <c r="C773" s="5"/>
      <c r="D773" s="5"/>
      <c r="E773" s="5"/>
    </row>
    <row r="774" spans="1:5" ht="16.5" customHeight="1">
      <c r="A774" s="5"/>
      <c r="B774" s="5"/>
      <c r="C774" s="5"/>
      <c r="D774" s="5"/>
      <c r="E774" s="5"/>
    </row>
    <row r="775" spans="1:5" ht="16.5" customHeight="1">
      <c r="A775" s="5"/>
      <c r="B775" s="5"/>
      <c r="C775" s="5"/>
      <c r="D775" s="5"/>
      <c r="E775" s="5"/>
    </row>
    <row r="776" spans="1:5" ht="16.5" customHeight="1">
      <c r="A776" s="5"/>
      <c r="B776" s="5"/>
      <c r="C776" s="5"/>
      <c r="D776" s="5"/>
      <c r="E776" s="5"/>
    </row>
    <row r="777" spans="1:5" ht="16.5" customHeight="1">
      <c r="A777" s="5"/>
      <c r="B777" s="5"/>
      <c r="C777" s="5"/>
      <c r="D777" s="5"/>
      <c r="E777" s="5"/>
    </row>
    <row r="778" spans="1:5" ht="16.5" customHeight="1">
      <c r="A778" s="5"/>
      <c r="B778" s="5"/>
      <c r="C778" s="5"/>
      <c r="D778" s="5"/>
      <c r="E778" s="5"/>
    </row>
    <row r="779" spans="1:5" ht="16.5" customHeight="1">
      <c r="A779" s="5"/>
      <c r="B779" s="5"/>
      <c r="C779" s="5"/>
      <c r="D779" s="5"/>
      <c r="E779" s="5"/>
    </row>
    <row r="780" spans="1:5" ht="16.5" customHeight="1">
      <c r="A780" s="5"/>
      <c r="B780" s="5"/>
      <c r="C780" s="5"/>
      <c r="D780" s="5"/>
      <c r="E780" s="5"/>
    </row>
    <row r="781" spans="1:5" ht="16.5" customHeight="1">
      <c r="A781" s="5"/>
      <c r="B781" s="5"/>
      <c r="C781" s="5"/>
      <c r="D781" s="5"/>
      <c r="E781" s="5"/>
    </row>
    <row r="782" spans="1:5" ht="16.5" customHeight="1">
      <c r="A782" s="5"/>
      <c r="B782" s="5"/>
      <c r="C782" s="5"/>
      <c r="D782" s="5"/>
      <c r="E782" s="5"/>
    </row>
    <row r="783" spans="1:5" ht="16.5" customHeight="1">
      <c r="A783" s="5"/>
      <c r="B783" s="5"/>
      <c r="C783" s="5"/>
      <c r="D783" s="5"/>
      <c r="E783" s="5"/>
    </row>
    <row r="784" spans="1:5" ht="16.5" customHeight="1">
      <c r="A784" s="5"/>
      <c r="B784" s="5"/>
      <c r="C784" s="5"/>
      <c r="D784" s="5"/>
      <c r="E784" s="5"/>
    </row>
    <row r="785" spans="1:5" ht="16.5" customHeight="1">
      <c r="A785" s="5"/>
      <c r="B785" s="5"/>
      <c r="C785" s="5"/>
      <c r="D785" s="5"/>
      <c r="E785" s="5"/>
    </row>
    <row r="786" spans="1:5" ht="16.5" customHeight="1">
      <c r="A786" s="5"/>
      <c r="B786" s="5"/>
      <c r="C786" s="5"/>
      <c r="D786" s="5"/>
      <c r="E786" s="5"/>
    </row>
    <row r="787" spans="1:5" ht="16.5" customHeight="1">
      <c r="A787" s="5"/>
      <c r="B787" s="5"/>
      <c r="C787" s="5"/>
      <c r="D787" s="5"/>
      <c r="E787" s="5"/>
    </row>
    <row r="788" spans="1:5" ht="16.5" customHeight="1">
      <c r="A788" s="5"/>
      <c r="B788" s="5"/>
      <c r="C788" s="5"/>
      <c r="D788" s="5"/>
      <c r="E788" s="5"/>
    </row>
    <row r="789" spans="1:5" ht="16.5" customHeight="1">
      <c r="A789" s="5"/>
      <c r="B789" s="5"/>
      <c r="C789" s="5"/>
      <c r="D789" s="5"/>
      <c r="E789" s="5"/>
    </row>
    <row r="790" spans="1:5" ht="16.5" customHeight="1">
      <c r="A790" s="5"/>
      <c r="B790" s="5"/>
      <c r="C790" s="5"/>
      <c r="D790" s="5"/>
      <c r="E790" s="5"/>
    </row>
    <row r="791" spans="1:5" ht="16.5" customHeight="1">
      <c r="A791" s="5"/>
      <c r="B791" s="5"/>
      <c r="C791" s="5"/>
      <c r="D791" s="5"/>
      <c r="E791" s="5"/>
    </row>
    <row r="792" spans="1:5" ht="16.5" customHeight="1">
      <c r="A792" s="5"/>
      <c r="B792" s="5"/>
      <c r="C792" s="5"/>
      <c r="D792" s="5"/>
      <c r="E792" s="5"/>
    </row>
    <row r="793" spans="1:5" ht="16.5" customHeight="1">
      <c r="A793" s="5"/>
      <c r="B793" s="5"/>
      <c r="C793" s="5"/>
      <c r="D793" s="5"/>
      <c r="E793" s="5"/>
    </row>
    <row r="794" spans="1:5" ht="16.5" customHeight="1">
      <c r="A794" s="5"/>
      <c r="B794" s="5"/>
      <c r="C794" s="5"/>
      <c r="D794" s="5"/>
      <c r="E794" s="5"/>
    </row>
    <row r="795" spans="1:5" ht="16.5" customHeight="1">
      <c r="A795" s="5"/>
      <c r="B795" s="5"/>
      <c r="C795" s="5"/>
      <c r="D795" s="5"/>
      <c r="E795" s="5"/>
    </row>
    <row r="796" spans="1:5" ht="16.5" customHeight="1">
      <c r="A796" s="5"/>
      <c r="B796" s="5"/>
      <c r="C796" s="5"/>
      <c r="D796" s="5"/>
      <c r="E796" s="5"/>
    </row>
    <row r="797" spans="1:5" ht="16.5" customHeight="1">
      <c r="A797" s="5"/>
      <c r="B797" s="5"/>
      <c r="C797" s="5"/>
      <c r="D797" s="5"/>
      <c r="E797" s="5"/>
    </row>
    <row r="798" spans="1:5" ht="16.5" customHeight="1">
      <c r="A798" s="5"/>
      <c r="B798" s="5"/>
      <c r="C798" s="5"/>
      <c r="D798" s="5"/>
      <c r="E798" s="5"/>
    </row>
    <row r="799" spans="1:5" ht="16.5" customHeight="1">
      <c r="A799" s="5"/>
      <c r="B799" s="5"/>
      <c r="C799" s="5"/>
      <c r="D799" s="5"/>
      <c r="E799" s="5"/>
    </row>
    <row r="800" spans="1:5" ht="16.5" customHeight="1">
      <c r="A800" s="5"/>
      <c r="B800" s="5"/>
      <c r="C800" s="5"/>
      <c r="D800" s="5"/>
      <c r="E800" s="5"/>
    </row>
    <row r="801" spans="1:5" ht="16.5" customHeight="1">
      <c r="A801" s="5"/>
      <c r="B801" s="5"/>
      <c r="C801" s="5"/>
      <c r="D801" s="5"/>
      <c r="E801" s="5"/>
    </row>
    <row r="802" spans="1:5" ht="16.5" customHeight="1">
      <c r="A802" s="5"/>
      <c r="B802" s="5"/>
      <c r="C802" s="5"/>
      <c r="D802" s="5"/>
      <c r="E802" s="5"/>
    </row>
    <row r="803" spans="1:5" ht="16.5" customHeight="1">
      <c r="A803" s="5"/>
      <c r="B803" s="5"/>
      <c r="C803" s="5"/>
      <c r="D803" s="5"/>
      <c r="E803" s="5"/>
    </row>
    <row r="804" spans="1:5" ht="16.5" customHeight="1">
      <c r="A804" s="5"/>
      <c r="B804" s="5"/>
      <c r="C804" s="5"/>
      <c r="D804" s="5"/>
      <c r="E804" s="5"/>
    </row>
    <row r="805" spans="1:5" ht="16.5" customHeight="1">
      <c r="A805" s="5"/>
      <c r="B805" s="5"/>
      <c r="C805" s="5"/>
      <c r="D805" s="5"/>
      <c r="E805" s="5"/>
    </row>
    <row r="806" spans="1:5" ht="16.5" customHeight="1">
      <c r="A806" s="5"/>
      <c r="B806" s="5"/>
      <c r="C806" s="5"/>
      <c r="D806" s="5"/>
      <c r="E806" s="5"/>
    </row>
    <row r="807" spans="1:5" ht="16.5" customHeight="1">
      <c r="A807" s="5"/>
      <c r="B807" s="5"/>
      <c r="C807" s="5"/>
      <c r="D807" s="5"/>
      <c r="E807" s="5"/>
    </row>
    <row r="808" spans="1:5" ht="16.5" customHeight="1">
      <c r="A808" s="5"/>
      <c r="B808" s="5"/>
      <c r="C808" s="5"/>
      <c r="D808" s="5"/>
      <c r="E808" s="5"/>
    </row>
    <row r="809" spans="1:5" ht="16.5" customHeight="1">
      <c r="A809" s="5"/>
      <c r="B809" s="5"/>
      <c r="C809" s="5"/>
      <c r="D809" s="5"/>
      <c r="E809" s="5"/>
    </row>
    <row r="810" spans="1:5" ht="16.5" customHeight="1">
      <c r="A810" s="5"/>
      <c r="B810" s="5"/>
      <c r="C810" s="5"/>
      <c r="D810" s="5"/>
      <c r="E810" s="5"/>
    </row>
    <row r="811" spans="1:5" ht="16.5" customHeight="1">
      <c r="A811" s="5"/>
      <c r="B811" s="5"/>
      <c r="C811" s="5"/>
      <c r="D811" s="5"/>
      <c r="E811" s="5"/>
    </row>
    <row r="812" spans="1:5" ht="16.5" customHeight="1">
      <c r="A812" s="5"/>
      <c r="B812" s="5"/>
      <c r="C812" s="5"/>
      <c r="D812" s="5"/>
      <c r="E812" s="5"/>
    </row>
    <row r="813" spans="1:5" ht="16.5" customHeight="1">
      <c r="A813" s="5"/>
      <c r="B813" s="5"/>
      <c r="C813" s="5"/>
      <c r="D813" s="5"/>
      <c r="E813" s="5"/>
    </row>
    <row r="814" spans="1:5" ht="16.5" customHeight="1">
      <c r="A814" s="5"/>
      <c r="B814" s="5"/>
      <c r="C814" s="5"/>
      <c r="D814" s="5"/>
      <c r="E814" s="5"/>
    </row>
    <row r="815" spans="1:5" ht="16.5" customHeight="1">
      <c r="A815" s="5"/>
      <c r="B815" s="5"/>
      <c r="C815" s="5"/>
      <c r="D815" s="5"/>
      <c r="E815" s="5"/>
    </row>
    <row r="816" spans="1:5" ht="16.5" customHeight="1">
      <c r="A816" s="5"/>
      <c r="B816" s="5"/>
      <c r="C816" s="5"/>
      <c r="D816" s="5"/>
      <c r="E816" s="5"/>
    </row>
    <row r="817" spans="1:5" ht="16.5" customHeight="1">
      <c r="A817" s="5"/>
      <c r="B817" s="5"/>
      <c r="C817" s="5"/>
      <c r="D817" s="5"/>
      <c r="E817" s="5"/>
    </row>
    <row r="818" spans="1:5" ht="16.5" customHeight="1">
      <c r="A818" s="5"/>
      <c r="B818" s="5"/>
      <c r="C818" s="5"/>
      <c r="D818" s="5"/>
      <c r="E818" s="5"/>
    </row>
    <row r="819" spans="1:5" ht="16.5" customHeight="1">
      <c r="A819" s="5"/>
      <c r="B819" s="5"/>
      <c r="C819" s="5"/>
      <c r="D819" s="5"/>
      <c r="E819" s="5"/>
    </row>
    <row r="820" spans="1:5" ht="16.5" customHeight="1">
      <c r="A820" s="5"/>
      <c r="B820" s="5"/>
      <c r="C820" s="5"/>
      <c r="D820" s="5"/>
      <c r="E820" s="5"/>
    </row>
    <row r="821" spans="1:5" ht="16.5" customHeight="1">
      <c r="A821" s="5"/>
      <c r="B821" s="5"/>
      <c r="C821" s="5"/>
      <c r="D821" s="5"/>
      <c r="E821" s="5"/>
    </row>
    <row r="822" spans="1:5" ht="16.5" customHeight="1">
      <c r="A822" s="5"/>
      <c r="B822" s="5"/>
      <c r="C822" s="5"/>
      <c r="D822" s="5"/>
      <c r="E822" s="5"/>
    </row>
    <row r="823" spans="1:5" ht="16.5" customHeight="1">
      <c r="A823" s="5"/>
      <c r="B823" s="5"/>
      <c r="C823" s="5"/>
      <c r="D823" s="5"/>
      <c r="E823" s="5"/>
    </row>
    <row r="824" spans="1:5" ht="16.5" customHeight="1">
      <c r="A824" s="5"/>
      <c r="B824" s="5"/>
      <c r="C824" s="5"/>
      <c r="D824" s="5"/>
      <c r="E824" s="5"/>
    </row>
    <row r="825" spans="1:5" ht="16.5" customHeight="1">
      <c r="A825" s="5"/>
      <c r="B825" s="5"/>
      <c r="C825" s="5"/>
      <c r="D825" s="5"/>
      <c r="E825" s="5"/>
    </row>
    <row r="826" spans="1:5" ht="16.5" customHeight="1">
      <c r="A826" s="5"/>
      <c r="B826" s="5"/>
      <c r="C826" s="5"/>
      <c r="D826" s="5"/>
      <c r="E826" s="5"/>
    </row>
    <row r="827" spans="1:5" ht="16.5" customHeight="1">
      <c r="A827" s="5"/>
      <c r="B827" s="5"/>
      <c r="C827" s="5"/>
      <c r="D827" s="5"/>
      <c r="E827" s="5"/>
    </row>
    <row r="828" spans="1:5" ht="16.5" customHeight="1">
      <c r="A828" s="5"/>
      <c r="B828" s="5"/>
      <c r="C828" s="5"/>
      <c r="D828" s="5"/>
      <c r="E828" s="5"/>
    </row>
    <row r="829" spans="1:5" ht="16.5" customHeight="1">
      <c r="A829" s="5"/>
      <c r="B829" s="5"/>
      <c r="C829" s="5"/>
      <c r="D829" s="5"/>
      <c r="E829" s="5"/>
    </row>
    <row r="830" spans="1:5" ht="16.5" customHeight="1">
      <c r="A830" s="5"/>
      <c r="B830" s="5"/>
      <c r="C830" s="5"/>
      <c r="D830" s="5"/>
      <c r="E830" s="5"/>
    </row>
    <row r="831" spans="1:5" ht="16.5" customHeight="1">
      <c r="A831" s="5"/>
      <c r="B831" s="5"/>
      <c r="C831" s="5"/>
      <c r="D831" s="5"/>
      <c r="E831" s="5"/>
    </row>
    <row r="832" spans="1:5" ht="16.5" customHeight="1">
      <c r="A832" s="5"/>
      <c r="B832" s="5"/>
      <c r="C832" s="5"/>
      <c r="D832" s="5"/>
      <c r="E832" s="5"/>
    </row>
    <row r="833" spans="1:5" ht="16.5" customHeight="1">
      <c r="A833" s="5"/>
      <c r="B833" s="5"/>
      <c r="C833" s="5"/>
      <c r="D833" s="5"/>
      <c r="E833" s="5"/>
    </row>
    <row r="834" spans="1:5" ht="16.5" customHeight="1">
      <c r="A834" s="5"/>
      <c r="B834" s="5"/>
      <c r="C834" s="5"/>
      <c r="D834" s="5"/>
      <c r="E834" s="5"/>
    </row>
    <row r="835" spans="1:5" ht="16.5" customHeight="1">
      <c r="A835" s="5"/>
      <c r="B835" s="5"/>
      <c r="C835" s="5"/>
      <c r="D835" s="5"/>
      <c r="E835" s="5"/>
    </row>
    <row r="836" spans="1:5" ht="16.5" customHeight="1">
      <c r="A836" s="5"/>
      <c r="B836" s="5"/>
      <c r="C836" s="5"/>
      <c r="D836" s="5"/>
      <c r="E836" s="5"/>
    </row>
    <row r="837" spans="1:5" ht="16.5" customHeight="1">
      <c r="A837" s="5"/>
      <c r="B837" s="5"/>
      <c r="C837" s="5"/>
      <c r="D837" s="5"/>
      <c r="E837" s="5"/>
    </row>
    <row r="838" spans="1:5" ht="16.5" customHeight="1">
      <c r="A838" s="5"/>
      <c r="B838" s="5"/>
      <c r="C838" s="5"/>
      <c r="D838" s="5"/>
      <c r="E838" s="5"/>
    </row>
    <row r="839" spans="1:5" ht="16.5" customHeight="1">
      <c r="A839" s="5"/>
      <c r="B839" s="5"/>
      <c r="C839" s="5"/>
      <c r="D839" s="5"/>
      <c r="E839" s="5"/>
    </row>
    <row r="840" spans="1:5" ht="16.5" customHeight="1">
      <c r="A840" s="5"/>
      <c r="B840" s="5"/>
      <c r="C840" s="5"/>
      <c r="D840" s="5"/>
      <c r="E840" s="5"/>
    </row>
    <row r="841" spans="1:5" ht="16.5" customHeight="1">
      <c r="A841" s="5"/>
      <c r="B841" s="5"/>
      <c r="C841" s="5"/>
      <c r="D841" s="5"/>
      <c r="E841" s="5"/>
    </row>
    <row r="842" spans="1:5" ht="16.5" customHeight="1">
      <c r="A842" s="5"/>
      <c r="B842" s="5"/>
      <c r="C842" s="5"/>
      <c r="D842" s="5"/>
      <c r="E842" s="5"/>
    </row>
    <row r="843" spans="1:5" ht="16.5" customHeight="1">
      <c r="A843" s="5"/>
      <c r="B843" s="5"/>
      <c r="C843" s="5"/>
      <c r="D843" s="5"/>
      <c r="E843" s="5"/>
    </row>
    <row r="844" spans="1:5" ht="16.5" customHeight="1">
      <c r="A844" s="5"/>
      <c r="B844" s="5"/>
      <c r="C844" s="5"/>
      <c r="D844" s="5"/>
      <c r="E844" s="5"/>
    </row>
    <row r="845" spans="1:5" ht="16.5" customHeight="1">
      <c r="A845" s="5"/>
      <c r="B845" s="5"/>
      <c r="C845" s="5"/>
      <c r="D845" s="5"/>
      <c r="E845" s="5"/>
    </row>
    <row r="846" spans="1:5" ht="16.5" customHeight="1">
      <c r="A846" s="5"/>
      <c r="B846" s="5"/>
      <c r="C846" s="5"/>
      <c r="D846" s="5"/>
      <c r="E846" s="5"/>
    </row>
    <row r="847" spans="1:5" ht="16.5" customHeight="1">
      <c r="A847" s="5"/>
      <c r="B847" s="5"/>
      <c r="C847" s="5"/>
      <c r="D847" s="5"/>
      <c r="E847" s="5"/>
    </row>
    <row r="848" spans="1:5" ht="16.5" customHeight="1">
      <c r="A848" s="5"/>
      <c r="B848" s="5"/>
      <c r="C848" s="5"/>
      <c r="D848" s="5"/>
      <c r="E848" s="5"/>
    </row>
    <row r="849" spans="1:5" ht="16.5" customHeight="1">
      <c r="A849" s="5"/>
      <c r="B849" s="5"/>
      <c r="C849" s="5"/>
      <c r="D849" s="5"/>
      <c r="E849" s="5"/>
    </row>
    <row r="850" spans="1:5" ht="16.5" customHeight="1">
      <c r="A850" s="5"/>
      <c r="B850" s="5"/>
      <c r="C850" s="5"/>
      <c r="D850" s="5"/>
      <c r="E850" s="5"/>
    </row>
    <row r="851" spans="1:5" ht="16.5" customHeight="1">
      <c r="A851" s="5"/>
      <c r="B851" s="5"/>
      <c r="C851" s="5"/>
      <c r="D851" s="5"/>
      <c r="E851" s="5"/>
    </row>
    <row r="852" spans="1:5" ht="16.5" customHeight="1">
      <c r="A852" s="5"/>
      <c r="B852" s="5"/>
      <c r="C852" s="5"/>
      <c r="D852" s="5"/>
      <c r="E852" s="5"/>
    </row>
    <row r="853" spans="1:5" ht="16.5" customHeight="1">
      <c r="A853" s="5"/>
      <c r="B853" s="5"/>
      <c r="C853" s="5"/>
      <c r="D853" s="5"/>
      <c r="E853" s="5"/>
    </row>
    <row r="854" spans="1:5" ht="16.5" customHeight="1">
      <c r="A854" s="5"/>
      <c r="B854" s="5"/>
      <c r="C854" s="5"/>
      <c r="D854" s="5"/>
      <c r="E854" s="5"/>
    </row>
    <row r="855" spans="1:5" ht="16.5" customHeight="1">
      <c r="A855" s="5"/>
      <c r="B855" s="5"/>
      <c r="C855" s="5"/>
      <c r="D855" s="5"/>
      <c r="E855" s="5"/>
    </row>
    <row r="856" spans="1:5" ht="16.5" customHeight="1">
      <c r="A856" s="5"/>
      <c r="B856" s="5"/>
      <c r="C856" s="5"/>
      <c r="D856" s="5"/>
      <c r="E856" s="5"/>
    </row>
    <row r="857" spans="1:5" ht="16.5" customHeight="1">
      <c r="A857" s="5"/>
      <c r="B857" s="5"/>
      <c r="C857" s="5"/>
      <c r="D857" s="5"/>
      <c r="E857" s="5"/>
    </row>
    <row r="858" spans="1:5" ht="16.5" customHeight="1">
      <c r="A858" s="5"/>
      <c r="B858" s="5"/>
      <c r="C858" s="5"/>
      <c r="D858" s="5"/>
      <c r="E858" s="5"/>
    </row>
    <row r="859" spans="1:5" ht="16.5" customHeight="1">
      <c r="A859" s="5"/>
      <c r="B859" s="5"/>
      <c r="C859" s="5"/>
      <c r="D859" s="5"/>
      <c r="E859" s="5"/>
    </row>
    <row r="860" spans="1:5" ht="16.5" customHeight="1">
      <c r="A860" s="5"/>
      <c r="B860" s="5"/>
      <c r="C860" s="5"/>
      <c r="D860" s="5"/>
      <c r="E860" s="5"/>
    </row>
    <row r="861" spans="1:5" ht="16.5" customHeight="1">
      <c r="A861" s="5"/>
      <c r="B861" s="5"/>
      <c r="C861" s="5"/>
      <c r="D861" s="5"/>
      <c r="E861" s="5"/>
    </row>
    <row r="862" spans="1:5" ht="16.5" customHeight="1">
      <c r="A862" s="5"/>
      <c r="B862" s="5"/>
      <c r="C862" s="5"/>
      <c r="D862" s="5"/>
      <c r="E862" s="5"/>
    </row>
    <row r="863" spans="1:5" ht="16.5" customHeight="1">
      <c r="A863" s="5"/>
      <c r="B863" s="5"/>
      <c r="C863" s="5"/>
      <c r="D863" s="5"/>
      <c r="E863" s="5"/>
    </row>
    <row r="864" spans="1:5" ht="16.5" customHeight="1">
      <c r="A864" s="5"/>
      <c r="B864" s="5"/>
      <c r="C864" s="5"/>
      <c r="D864" s="5"/>
      <c r="E864" s="5"/>
    </row>
    <row r="865" spans="1:5" ht="16.5" customHeight="1">
      <c r="A865" s="5"/>
      <c r="B865" s="5"/>
      <c r="C865" s="5"/>
      <c r="D865" s="5"/>
      <c r="E865" s="5"/>
    </row>
    <row r="866" spans="1:5" ht="16.5" customHeight="1">
      <c r="A866" s="5"/>
      <c r="B866" s="5"/>
      <c r="C866" s="5"/>
      <c r="D866" s="5"/>
      <c r="E866" s="5"/>
    </row>
    <row r="867" spans="1:5" ht="16.5" customHeight="1">
      <c r="A867" s="5"/>
      <c r="B867" s="5"/>
      <c r="C867" s="5"/>
      <c r="D867" s="5"/>
      <c r="E867" s="5"/>
    </row>
    <row r="868" spans="1:5" ht="16.5" customHeight="1">
      <c r="A868" s="5"/>
      <c r="B868" s="5"/>
      <c r="C868" s="5"/>
      <c r="D868" s="5"/>
      <c r="E868" s="5"/>
    </row>
    <row r="869" spans="1:5" ht="16.5" customHeight="1">
      <c r="A869" s="5"/>
      <c r="B869" s="5"/>
      <c r="C869" s="5"/>
      <c r="D869" s="5"/>
      <c r="E869" s="5"/>
    </row>
    <row r="870" spans="1:5" ht="16.5" customHeight="1">
      <c r="A870" s="5"/>
      <c r="B870" s="5"/>
      <c r="C870" s="5"/>
      <c r="D870" s="5"/>
      <c r="E870" s="5"/>
    </row>
    <row r="871" spans="1:5" ht="16.5" customHeight="1">
      <c r="A871" s="5"/>
      <c r="B871" s="5"/>
      <c r="C871" s="5"/>
      <c r="D871" s="5"/>
      <c r="E871" s="5"/>
    </row>
    <row r="872" spans="1:5" ht="16.5" customHeight="1">
      <c r="A872" s="5"/>
      <c r="B872" s="5"/>
      <c r="C872" s="5"/>
      <c r="D872" s="5"/>
      <c r="E872" s="5"/>
    </row>
    <row r="873" spans="1:5" ht="16.5" customHeight="1">
      <c r="A873" s="5"/>
      <c r="B873" s="5"/>
      <c r="C873" s="5"/>
      <c r="D873" s="5"/>
      <c r="E873" s="5"/>
    </row>
    <row r="874" spans="1:5" ht="16.5" customHeight="1">
      <c r="A874" s="5"/>
      <c r="B874" s="5"/>
      <c r="C874" s="5"/>
      <c r="D874" s="5"/>
      <c r="E874" s="5"/>
    </row>
    <row r="875" spans="1:5" ht="16.5" customHeight="1">
      <c r="A875" s="5"/>
      <c r="B875" s="5"/>
      <c r="C875" s="5"/>
      <c r="D875" s="5"/>
      <c r="E875" s="5"/>
    </row>
    <row r="876" spans="1:5" ht="16.5" customHeight="1">
      <c r="A876" s="5"/>
      <c r="B876" s="5"/>
      <c r="C876" s="5"/>
      <c r="D876" s="5"/>
      <c r="E876" s="5"/>
    </row>
    <row r="877" spans="1:5" ht="16.5" customHeight="1">
      <c r="A877" s="5"/>
      <c r="B877" s="5"/>
      <c r="C877" s="5"/>
      <c r="D877" s="5"/>
      <c r="E877" s="5"/>
    </row>
    <row r="878" spans="1:5" ht="16.5" customHeight="1">
      <c r="A878" s="5"/>
      <c r="B878" s="5"/>
      <c r="C878" s="5"/>
      <c r="D878" s="5"/>
      <c r="E878" s="5"/>
    </row>
    <row r="879" spans="1:5" ht="16.5" customHeight="1">
      <c r="A879" s="5"/>
      <c r="B879" s="5"/>
      <c r="C879" s="5"/>
      <c r="D879" s="5"/>
      <c r="E879" s="5"/>
    </row>
    <row r="880" spans="1:5" ht="16.5" customHeight="1">
      <c r="A880" s="5"/>
      <c r="B880" s="5"/>
      <c r="C880" s="5"/>
      <c r="D880" s="5"/>
      <c r="E880" s="5"/>
    </row>
    <row r="881" spans="1:5" ht="16.5" customHeight="1">
      <c r="A881" s="5"/>
      <c r="B881" s="5"/>
      <c r="C881" s="5"/>
      <c r="D881" s="5"/>
      <c r="E881" s="5"/>
    </row>
    <row r="882" spans="1:5" ht="16.5" customHeight="1">
      <c r="A882" s="5"/>
      <c r="B882" s="5"/>
      <c r="C882" s="5"/>
      <c r="D882" s="5"/>
      <c r="E882" s="5"/>
    </row>
    <row r="883" spans="1:5" ht="16.5" customHeight="1">
      <c r="A883" s="5"/>
      <c r="B883" s="5"/>
      <c r="C883" s="5"/>
      <c r="D883" s="5"/>
      <c r="E883" s="5"/>
    </row>
    <row r="884" spans="1:5" ht="16.5" customHeight="1">
      <c r="A884" s="5"/>
      <c r="B884" s="5"/>
      <c r="C884" s="5"/>
      <c r="D884" s="5"/>
      <c r="E884" s="5"/>
    </row>
    <row r="885" spans="1:5" ht="16.5" customHeight="1">
      <c r="A885" s="5"/>
      <c r="B885" s="5"/>
      <c r="C885" s="5"/>
      <c r="D885" s="5"/>
      <c r="E885" s="5"/>
    </row>
    <row r="886" spans="1:5" ht="16.5" customHeight="1">
      <c r="A886" s="5"/>
      <c r="B886" s="5"/>
      <c r="C886" s="5"/>
      <c r="D886" s="5"/>
      <c r="E886" s="5"/>
    </row>
    <row r="887" spans="1:5" ht="16.5" customHeight="1">
      <c r="A887" s="5"/>
      <c r="B887" s="5"/>
      <c r="C887" s="5"/>
      <c r="D887" s="5"/>
      <c r="E887" s="5"/>
    </row>
    <row r="888" spans="1:5" ht="16.5" customHeight="1">
      <c r="A888" s="5"/>
      <c r="B888" s="5"/>
      <c r="C888" s="5"/>
      <c r="D888" s="5"/>
      <c r="E888" s="5"/>
    </row>
    <row r="889" spans="1:5" ht="16.5" customHeight="1">
      <c r="A889" s="5"/>
      <c r="B889" s="5"/>
      <c r="C889" s="5"/>
      <c r="D889" s="5"/>
      <c r="E889" s="5"/>
    </row>
    <row r="890" spans="1:5" ht="16.5" customHeight="1">
      <c r="A890" s="5"/>
      <c r="B890" s="5"/>
      <c r="C890" s="5"/>
      <c r="D890" s="5"/>
      <c r="E890" s="5"/>
    </row>
    <row r="891" spans="1:5" ht="16.5" customHeight="1">
      <c r="A891" s="5"/>
      <c r="B891" s="5"/>
      <c r="C891" s="5"/>
      <c r="D891" s="5"/>
      <c r="E891" s="5"/>
    </row>
    <row r="892" spans="1:5" ht="16.5" customHeight="1">
      <c r="A892" s="5"/>
      <c r="B892" s="5"/>
      <c r="C892" s="5"/>
      <c r="D892" s="5"/>
      <c r="E892" s="5"/>
    </row>
    <row r="893" spans="1:5" ht="16.5" customHeight="1">
      <c r="A893" s="5"/>
      <c r="B893" s="5"/>
      <c r="C893" s="5"/>
      <c r="D893" s="5"/>
      <c r="E893" s="5"/>
    </row>
    <row r="894" spans="1:5" ht="16.5" customHeight="1">
      <c r="A894" s="5"/>
      <c r="B894" s="5"/>
      <c r="C894" s="5"/>
      <c r="D894" s="5"/>
      <c r="E894" s="5"/>
    </row>
    <row r="895" spans="1:5" ht="16.5" customHeight="1">
      <c r="A895" s="5"/>
      <c r="B895" s="5"/>
      <c r="C895" s="5"/>
      <c r="D895" s="5"/>
      <c r="E895" s="5"/>
    </row>
    <row r="896" spans="1:5" ht="16.5" customHeight="1">
      <c r="A896" s="5"/>
      <c r="B896" s="5"/>
      <c r="C896" s="5"/>
      <c r="D896" s="5"/>
      <c r="E896" s="5"/>
    </row>
    <row r="897" spans="1:5" ht="16.5" customHeight="1">
      <c r="A897" s="5"/>
      <c r="B897" s="5"/>
      <c r="C897" s="5"/>
      <c r="D897" s="5"/>
      <c r="E897" s="5"/>
    </row>
    <row r="898" spans="1:5" ht="16.5" customHeight="1">
      <c r="A898" s="5"/>
      <c r="B898" s="5"/>
      <c r="C898" s="5"/>
      <c r="D898" s="5"/>
      <c r="E898" s="5"/>
    </row>
    <row r="899" spans="1:5" ht="16.5" customHeight="1">
      <c r="A899" s="5"/>
      <c r="B899" s="5"/>
      <c r="C899" s="5"/>
      <c r="D899" s="5"/>
      <c r="E899" s="5"/>
    </row>
    <row r="900" spans="1:5" ht="16.5" customHeight="1">
      <c r="A900" s="5"/>
      <c r="B900" s="5"/>
      <c r="C900" s="5"/>
      <c r="D900" s="5"/>
      <c r="E900" s="5"/>
    </row>
    <row r="901" spans="1:5" ht="16.5" customHeight="1">
      <c r="A901" s="5"/>
      <c r="B901" s="5"/>
      <c r="C901" s="5"/>
      <c r="D901" s="5"/>
      <c r="E901" s="5"/>
    </row>
    <row r="902" spans="1:5" ht="16.5" customHeight="1">
      <c r="A902" s="5"/>
      <c r="B902" s="5"/>
      <c r="C902" s="5"/>
      <c r="D902" s="5"/>
      <c r="E902" s="5"/>
    </row>
    <row r="903" spans="1:5" ht="16.5" customHeight="1">
      <c r="A903" s="5"/>
      <c r="B903" s="5"/>
      <c r="C903" s="5"/>
      <c r="D903" s="5"/>
      <c r="E903" s="5"/>
    </row>
    <row r="904" spans="1:5" ht="16.5" customHeight="1">
      <c r="A904" s="5"/>
      <c r="B904" s="5"/>
      <c r="C904" s="5"/>
      <c r="D904" s="5"/>
      <c r="E904" s="5"/>
    </row>
    <row r="905" spans="1:5" ht="16.5" customHeight="1">
      <c r="A905" s="5"/>
      <c r="B905" s="5"/>
      <c r="C905" s="5"/>
      <c r="D905" s="5"/>
      <c r="E905" s="5"/>
    </row>
    <row r="906" spans="1:5" ht="16.5" customHeight="1">
      <c r="A906" s="5"/>
      <c r="B906" s="5"/>
      <c r="C906" s="5"/>
      <c r="D906" s="5"/>
      <c r="E906" s="5"/>
    </row>
    <row r="907" spans="1:5" ht="16.5" customHeight="1">
      <c r="A907" s="5"/>
      <c r="B907" s="5"/>
      <c r="C907" s="5"/>
      <c r="D907" s="5"/>
      <c r="E907" s="5"/>
    </row>
    <row r="908" spans="1:5" ht="16.5" customHeight="1">
      <c r="A908" s="5"/>
      <c r="B908" s="5"/>
      <c r="C908" s="5"/>
      <c r="D908" s="5"/>
      <c r="E908" s="5"/>
    </row>
    <row r="909" spans="1:5" ht="16.5" customHeight="1">
      <c r="A909" s="5"/>
      <c r="B909" s="5"/>
      <c r="C909" s="5"/>
      <c r="D909" s="5"/>
      <c r="E909" s="5"/>
    </row>
    <row r="910" spans="1:5" ht="16.5" customHeight="1">
      <c r="A910" s="5"/>
      <c r="B910" s="5"/>
      <c r="C910" s="5"/>
      <c r="D910" s="5"/>
      <c r="E910" s="5"/>
    </row>
    <row r="911" spans="1:5" ht="16.5" customHeight="1">
      <c r="A911" s="5"/>
      <c r="B911" s="5"/>
      <c r="C911" s="5"/>
      <c r="D911" s="5"/>
      <c r="E911" s="5"/>
    </row>
    <row r="912" spans="1:5" ht="16.5" customHeight="1">
      <c r="A912" s="5"/>
      <c r="B912" s="5"/>
      <c r="C912" s="5"/>
      <c r="D912" s="5"/>
      <c r="E912" s="5"/>
    </row>
    <row r="913" spans="1:5" ht="16.5" customHeight="1">
      <c r="A913" s="5"/>
      <c r="B913" s="5"/>
      <c r="C913" s="5"/>
      <c r="D913" s="5"/>
      <c r="E913" s="5"/>
    </row>
    <row r="914" spans="1:5" ht="16.5" customHeight="1">
      <c r="A914" s="5"/>
      <c r="B914" s="5"/>
      <c r="C914" s="5"/>
      <c r="D914" s="5"/>
      <c r="E914" s="5"/>
    </row>
    <row r="915" spans="1:5" ht="16.5" customHeight="1">
      <c r="A915" s="5"/>
      <c r="B915" s="5"/>
      <c r="C915" s="5"/>
      <c r="D915" s="5"/>
      <c r="E915" s="5"/>
    </row>
    <row r="916" spans="1:5" ht="16.5" customHeight="1">
      <c r="A916" s="5"/>
      <c r="B916" s="5"/>
      <c r="C916" s="5"/>
      <c r="D916" s="5"/>
      <c r="E916" s="5"/>
    </row>
    <row r="917" spans="1:5" ht="16.5" customHeight="1">
      <c r="A917" s="5"/>
      <c r="B917" s="5"/>
      <c r="C917" s="5"/>
      <c r="D917" s="5"/>
      <c r="E917" s="5"/>
    </row>
    <row r="918" spans="1:5" ht="16.5" customHeight="1">
      <c r="A918" s="5"/>
      <c r="B918" s="5"/>
      <c r="C918" s="5"/>
      <c r="D918" s="5"/>
      <c r="E918" s="5"/>
    </row>
    <row r="919" spans="1:5" ht="16.5" customHeight="1">
      <c r="A919" s="5"/>
      <c r="B919" s="5"/>
      <c r="C919" s="5"/>
      <c r="D919" s="5"/>
      <c r="E919" s="5"/>
    </row>
    <row r="920" spans="1:5" ht="16.5" customHeight="1">
      <c r="A920" s="5"/>
      <c r="B920" s="5"/>
      <c r="C920" s="5"/>
      <c r="D920" s="5"/>
      <c r="E920" s="5"/>
    </row>
    <row r="921" spans="1:5" ht="16.5" customHeight="1">
      <c r="A921" s="5"/>
      <c r="B921" s="5"/>
      <c r="C921" s="5"/>
      <c r="D921" s="5"/>
      <c r="E921" s="5"/>
    </row>
    <row r="922" spans="1:5" ht="16.5" customHeight="1">
      <c r="A922" s="5"/>
      <c r="B922" s="5"/>
      <c r="C922" s="5"/>
      <c r="D922" s="5"/>
      <c r="E922" s="5"/>
    </row>
    <row r="923" spans="1:5" ht="16.5" customHeight="1">
      <c r="A923" s="5"/>
      <c r="B923" s="5"/>
      <c r="C923" s="5"/>
      <c r="D923" s="5"/>
      <c r="E923" s="5"/>
    </row>
    <row r="924" spans="1:5" ht="16.5" customHeight="1">
      <c r="A924" s="5"/>
      <c r="B924" s="5"/>
      <c r="C924" s="5"/>
      <c r="D924" s="5"/>
      <c r="E924" s="5"/>
    </row>
    <row r="925" spans="1:5" ht="16.5" customHeight="1">
      <c r="A925" s="5"/>
      <c r="B925" s="5"/>
      <c r="C925" s="5"/>
      <c r="D925" s="5"/>
      <c r="E925" s="5"/>
    </row>
    <row r="926" spans="1:5" ht="16.5" customHeight="1">
      <c r="A926" s="5"/>
      <c r="B926" s="5"/>
      <c r="C926" s="5"/>
      <c r="D926" s="5"/>
      <c r="E926" s="5"/>
    </row>
    <row r="927" spans="1:5" ht="16.5" customHeight="1">
      <c r="A927" s="5"/>
      <c r="B927" s="5"/>
      <c r="C927" s="5"/>
      <c r="D927" s="5"/>
      <c r="E927" s="5"/>
    </row>
    <row r="928" spans="1:5" ht="16.5" customHeight="1">
      <c r="A928" s="5"/>
      <c r="B928" s="5"/>
      <c r="C928" s="5"/>
      <c r="D928" s="5"/>
      <c r="E928" s="5"/>
    </row>
    <row r="929" spans="1:5" ht="16.5" customHeight="1">
      <c r="A929" s="5"/>
      <c r="B929" s="5"/>
      <c r="C929" s="5"/>
      <c r="D929" s="5"/>
      <c r="E929" s="5"/>
    </row>
    <row r="930" spans="1:5" ht="16.5" customHeight="1">
      <c r="A930" s="5"/>
      <c r="B930" s="5"/>
      <c r="C930" s="5"/>
      <c r="D930" s="5"/>
      <c r="E930" s="5"/>
    </row>
    <row r="931" spans="1:5" ht="16.5" customHeight="1">
      <c r="A931" s="5"/>
      <c r="B931" s="5"/>
      <c r="C931" s="5"/>
      <c r="D931" s="5"/>
      <c r="E931" s="5"/>
    </row>
    <row r="932" spans="1:5" ht="16.5" customHeight="1">
      <c r="A932" s="5"/>
      <c r="B932" s="5"/>
      <c r="C932" s="5"/>
      <c r="D932" s="5"/>
      <c r="E932" s="5"/>
    </row>
    <row r="933" spans="1:5" ht="16.5" customHeight="1">
      <c r="A933" s="5"/>
      <c r="B933" s="5"/>
      <c r="C933" s="5"/>
      <c r="D933" s="5"/>
      <c r="E933" s="5"/>
    </row>
    <row r="934" spans="1:5" ht="16.5" customHeight="1">
      <c r="A934" s="5"/>
      <c r="B934" s="5"/>
      <c r="C934" s="5"/>
      <c r="D934" s="5"/>
      <c r="E934" s="5"/>
    </row>
    <row r="935" spans="1:5" ht="16.5" customHeight="1">
      <c r="A935" s="5"/>
      <c r="B935" s="5"/>
      <c r="C935" s="5"/>
      <c r="D935" s="5"/>
      <c r="E935" s="5"/>
    </row>
    <row r="936" spans="1:5" ht="16.5" customHeight="1">
      <c r="A936" s="5"/>
      <c r="B936" s="5"/>
      <c r="C936" s="5"/>
      <c r="D936" s="5"/>
      <c r="E936" s="5"/>
    </row>
    <row r="937" spans="1:5" ht="16.5" customHeight="1">
      <c r="A937" s="5"/>
      <c r="B937" s="5"/>
      <c r="C937" s="5"/>
      <c r="D937" s="5"/>
      <c r="E937" s="5"/>
    </row>
    <row r="938" spans="1:5" ht="16.5" customHeight="1">
      <c r="A938" s="5"/>
      <c r="B938" s="5"/>
      <c r="C938" s="5"/>
      <c r="D938" s="5"/>
      <c r="E938" s="5"/>
    </row>
    <row r="939" spans="1:5" ht="16.5" customHeight="1">
      <c r="A939" s="5"/>
      <c r="B939" s="5"/>
      <c r="C939" s="5"/>
      <c r="D939" s="5"/>
      <c r="E939" s="5"/>
    </row>
    <row r="940" spans="1:5" ht="16.5" customHeight="1">
      <c r="A940" s="5"/>
      <c r="B940" s="5"/>
      <c r="C940" s="5"/>
      <c r="D940" s="5"/>
      <c r="E940" s="5"/>
    </row>
    <row r="941" spans="1:5" ht="16.5" customHeight="1">
      <c r="A941" s="5"/>
      <c r="B941" s="5"/>
      <c r="C941" s="5"/>
      <c r="D941" s="5"/>
      <c r="E941" s="5"/>
    </row>
    <row r="942" spans="1:5" ht="16.5" customHeight="1">
      <c r="A942" s="5"/>
      <c r="B942" s="5"/>
      <c r="C942" s="5"/>
      <c r="D942" s="5"/>
      <c r="E942" s="5"/>
    </row>
    <row r="943" spans="1:5" ht="16.5" customHeight="1">
      <c r="A943" s="5"/>
      <c r="B943" s="5"/>
      <c r="C943" s="5"/>
      <c r="D943" s="5"/>
      <c r="E943" s="5"/>
    </row>
    <row r="944" spans="1:5" ht="16.5" customHeight="1">
      <c r="A944" s="5"/>
      <c r="B944" s="5"/>
      <c r="C944" s="5"/>
      <c r="D944" s="5"/>
      <c r="E944" s="5"/>
    </row>
    <row r="945" spans="1:5" ht="16.5" customHeight="1">
      <c r="A945" s="5"/>
      <c r="B945" s="5"/>
      <c r="C945" s="5"/>
      <c r="D945" s="5"/>
      <c r="E945" s="5"/>
    </row>
    <row r="946" spans="1:5" ht="16.5" customHeight="1">
      <c r="A946" s="5"/>
      <c r="B946" s="5"/>
      <c r="C946" s="5"/>
      <c r="D946" s="5"/>
      <c r="E946" s="5"/>
    </row>
    <row r="947" spans="1:5" ht="16.5" customHeight="1">
      <c r="A947" s="5"/>
      <c r="B947" s="5"/>
      <c r="C947" s="5"/>
      <c r="D947" s="5"/>
      <c r="E947" s="5"/>
    </row>
    <row r="948" spans="1:5" ht="16.5" customHeight="1">
      <c r="A948" s="5"/>
      <c r="B948" s="5"/>
      <c r="C948" s="5"/>
      <c r="D948" s="5"/>
      <c r="E948" s="5"/>
    </row>
    <row r="949" spans="1:5" ht="16.5" customHeight="1">
      <c r="A949" s="5"/>
      <c r="B949" s="5"/>
      <c r="C949" s="5"/>
      <c r="D949" s="5"/>
      <c r="E949" s="5"/>
    </row>
    <row r="950" spans="1:5" ht="16.5" customHeight="1">
      <c r="A950" s="5"/>
      <c r="B950" s="5"/>
      <c r="C950" s="5"/>
      <c r="D950" s="5"/>
      <c r="E950" s="5"/>
    </row>
    <row r="951" spans="1:5" ht="16.5" customHeight="1">
      <c r="A951" s="5"/>
      <c r="B951" s="5"/>
      <c r="C951" s="5"/>
      <c r="D951" s="5"/>
      <c r="E951" s="5"/>
    </row>
    <row r="952" spans="1:5" ht="16.5" customHeight="1">
      <c r="A952" s="5"/>
      <c r="B952" s="5"/>
      <c r="C952" s="5"/>
      <c r="D952" s="5"/>
      <c r="E952" s="5"/>
    </row>
    <row r="953" spans="1:5" ht="16.5" customHeight="1">
      <c r="A953" s="5"/>
      <c r="B953" s="5"/>
      <c r="C953" s="5"/>
      <c r="D953" s="5"/>
      <c r="E953" s="5"/>
    </row>
    <row r="954" spans="1:5" ht="16.5" customHeight="1">
      <c r="A954" s="5"/>
      <c r="B954" s="5"/>
      <c r="C954" s="5"/>
      <c r="D954" s="5"/>
      <c r="E954" s="5"/>
    </row>
    <row r="955" spans="1:5" ht="16.5" customHeight="1">
      <c r="A955" s="5"/>
      <c r="B955" s="5"/>
      <c r="C955" s="5"/>
      <c r="D955" s="5"/>
      <c r="E955" s="5"/>
    </row>
    <row r="956" spans="1:5" ht="16.5" customHeight="1">
      <c r="A956" s="5"/>
      <c r="B956" s="5"/>
      <c r="C956" s="5"/>
      <c r="D956" s="5"/>
      <c r="E956" s="5"/>
    </row>
    <row r="957" spans="1:5" ht="16.5" customHeight="1">
      <c r="A957" s="5"/>
      <c r="B957" s="5"/>
      <c r="C957" s="5"/>
      <c r="D957" s="5"/>
      <c r="E957" s="5"/>
    </row>
    <row r="958" spans="1:5" ht="16.5" customHeight="1">
      <c r="A958" s="5"/>
      <c r="B958" s="5"/>
      <c r="C958" s="5"/>
      <c r="D958" s="5"/>
      <c r="E958" s="5"/>
    </row>
    <row r="959" spans="1:5" ht="16.5" customHeight="1">
      <c r="A959" s="5"/>
      <c r="B959" s="5"/>
      <c r="C959" s="5"/>
      <c r="D959" s="5"/>
      <c r="E959" s="5"/>
    </row>
    <row r="960" spans="1:5" ht="16.5" customHeight="1">
      <c r="A960" s="5"/>
      <c r="B960" s="5"/>
      <c r="C960" s="5"/>
      <c r="D960" s="5"/>
      <c r="E960" s="5"/>
    </row>
    <row r="961" spans="1:5" ht="16.5" customHeight="1">
      <c r="A961" s="5"/>
      <c r="B961" s="5"/>
      <c r="C961" s="5"/>
      <c r="D961" s="5"/>
      <c r="E961" s="5"/>
    </row>
    <row r="962" spans="1:5" ht="16.5" customHeight="1">
      <c r="A962" s="5"/>
      <c r="B962" s="5"/>
      <c r="C962" s="5"/>
      <c r="D962" s="5"/>
      <c r="E962" s="5"/>
    </row>
    <row r="963" spans="1:5" ht="16.5" customHeight="1">
      <c r="A963" s="5"/>
      <c r="B963" s="5"/>
      <c r="C963" s="5"/>
      <c r="D963" s="5"/>
      <c r="E963" s="5"/>
    </row>
    <row r="964" spans="1:5" ht="16.5" customHeight="1">
      <c r="A964" s="5"/>
      <c r="B964" s="5"/>
      <c r="C964" s="5"/>
      <c r="D964" s="5"/>
      <c r="E964" s="5"/>
    </row>
    <row r="965" spans="1:5" ht="16.5" customHeight="1">
      <c r="A965" s="5"/>
      <c r="B965" s="5"/>
      <c r="C965" s="5"/>
      <c r="D965" s="5"/>
      <c r="E965" s="5"/>
    </row>
    <row r="966" spans="1:5" ht="16.5" customHeight="1">
      <c r="A966" s="5"/>
      <c r="B966" s="5"/>
      <c r="C966" s="5"/>
      <c r="D966" s="5"/>
      <c r="E966" s="5"/>
    </row>
    <row r="967" spans="1:5" ht="16.5" customHeight="1">
      <c r="A967" s="5"/>
      <c r="B967" s="5"/>
      <c r="C967" s="5"/>
      <c r="D967" s="5"/>
      <c r="E967" s="5"/>
    </row>
    <row r="968" spans="1:5" ht="16.5" customHeight="1">
      <c r="A968" s="5"/>
      <c r="B968" s="5"/>
      <c r="C968" s="5"/>
      <c r="D968" s="5"/>
      <c r="E968" s="5"/>
    </row>
    <row r="969" spans="1:5" ht="16.5" customHeight="1">
      <c r="A969" s="5"/>
      <c r="B969" s="5"/>
      <c r="C969" s="5"/>
      <c r="D969" s="5"/>
      <c r="E969" s="5"/>
    </row>
    <row r="970" spans="1:5" ht="16.5" customHeight="1">
      <c r="A970" s="5"/>
      <c r="B970" s="5"/>
      <c r="C970" s="5"/>
      <c r="D970" s="5"/>
      <c r="E970" s="5"/>
    </row>
    <row r="971" spans="1:5" ht="16.5" customHeight="1">
      <c r="A971" s="5"/>
      <c r="B971" s="5"/>
      <c r="C971" s="5"/>
      <c r="D971" s="5"/>
      <c r="E971" s="5"/>
    </row>
    <row r="972" spans="1:5" ht="16.5" customHeight="1">
      <c r="A972" s="5"/>
      <c r="B972" s="5"/>
      <c r="C972" s="5"/>
      <c r="D972" s="5"/>
      <c r="E972" s="5"/>
    </row>
    <row r="973" spans="1:5" ht="16.5" customHeight="1">
      <c r="A973" s="5"/>
      <c r="B973" s="5"/>
      <c r="C973" s="5"/>
      <c r="D973" s="5"/>
      <c r="E973" s="5"/>
    </row>
    <row r="974" spans="1:5" ht="16.5" customHeight="1">
      <c r="A974" s="5"/>
      <c r="B974" s="5"/>
      <c r="C974" s="5"/>
      <c r="D974" s="5"/>
      <c r="E974" s="5"/>
    </row>
    <row r="975" spans="1:5" ht="16.5" customHeight="1">
      <c r="A975" s="5"/>
      <c r="B975" s="5"/>
      <c r="C975" s="5"/>
      <c r="D975" s="5"/>
      <c r="E975" s="5"/>
    </row>
    <row r="976" spans="1:5" ht="16.5" customHeight="1">
      <c r="A976" s="5"/>
      <c r="B976" s="5"/>
      <c r="C976" s="5"/>
      <c r="D976" s="5"/>
      <c r="E976" s="5"/>
    </row>
    <row r="977" spans="1:5" ht="16.5" customHeight="1">
      <c r="A977" s="5"/>
      <c r="B977" s="5"/>
      <c r="C977" s="5"/>
      <c r="D977" s="5"/>
      <c r="E977" s="5"/>
    </row>
    <row r="978" spans="1:5" ht="16.5" customHeight="1">
      <c r="A978" s="5"/>
      <c r="B978" s="5"/>
      <c r="C978" s="5"/>
      <c r="D978" s="5"/>
      <c r="E978" s="5"/>
    </row>
    <row r="979" spans="1:5" ht="16.5" customHeight="1">
      <c r="A979" s="5"/>
      <c r="B979" s="5"/>
      <c r="C979" s="5"/>
      <c r="D979" s="5"/>
      <c r="E979" s="5"/>
    </row>
    <row r="980" spans="1:5" ht="16.5" customHeight="1">
      <c r="A980" s="5"/>
      <c r="B980" s="5"/>
      <c r="C980" s="5"/>
      <c r="D980" s="5"/>
      <c r="E980" s="5"/>
    </row>
    <row r="981" spans="1:5" ht="16.5" customHeight="1">
      <c r="A981" s="5"/>
      <c r="B981" s="5"/>
      <c r="C981" s="5"/>
      <c r="D981" s="5"/>
      <c r="E981" s="5"/>
    </row>
    <row r="982" spans="1:5" ht="16.5" customHeight="1">
      <c r="A982" s="5"/>
      <c r="B982" s="5"/>
      <c r="C982" s="5"/>
      <c r="D982" s="5"/>
      <c r="E982" s="5"/>
    </row>
    <row r="983" spans="1:5" ht="16.5" customHeight="1">
      <c r="A983" s="5"/>
      <c r="B983" s="5"/>
      <c r="C983" s="5"/>
      <c r="D983" s="5"/>
      <c r="E983" s="5"/>
    </row>
    <row r="984" spans="1:5" ht="16.5" customHeight="1">
      <c r="A984" s="5"/>
      <c r="B984" s="5"/>
      <c r="C984" s="5"/>
      <c r="D984" s="5"/>
      <c r="E984" s="5"/>
    </row>
    <row r="985" spans="1:5" ht="16.5" customHeight="1">
      <c r="A985" s="5"/>
      <c r="B985" s="5"/>
      <c r="C985" s="5"/>
      <c r="D985" s="5"/>
      <c r="E985" s="5"/>
    </row>
    <row r="986" spans="1:5" ht="16.5" customHeight="1">
      <c r="A986" s="5"/>
      <c r="B986" s="5"/>
      <c r="C986" s="5"/>
      <c r="D986" s="5"/>
      <c r="E986" s="5"/>
    </row>
    <row r="987" spans="1:5" ht="16.5" customHeight="1">
      <c r="A987" s="5"/>
      <c r="B987" s="5"/>
      <c r="C987" s="5"/>
      <c r="D987" s="5"/>
      <c r="E987" s="5"/>
    </row>
    <row r="988" spans="1:5" ht="16.5" customHeight="1">
      <c r="A988" s="5"/>
      <c r="B988" s="5"/>
      <c r="C988" s="5"/>
      <c r="D988" s="5"/>
      <c r="E988" s="5"/>
    </row>
    <row r="989" spans="1:5" ht="16.5" customHeight="1">
      <c r="A989" s="5"/>
      <c r="B989" s="5"/>
      <c r="C989" s="5"/>
      <c r="D989" s="5"/>
      <c r="E989" s="5"/>
    </row>
    <row r="990" spans="1:5" ht="16.5" customHeight="1">
      <c r="A990" s="5"/>
      <c r="B990" s="5"/>
      <c r="C990" s="5"/>
      <c r="D990" s="5"/>
      <c r="E990" s="5"/>
    </row>
    <row r="991" spans="1:5" ht="16.5" customHeight="1">
      <c r="A991" s="5"/>
      <c r="B991" s="5"/>
      <c r="C991" s="5"/>
      <c r="D991" s="5"/>
      <c r="E991" s="5"/>
    </row>
    <row r="992" spans="1:5" ht="16.5" customHeight="1">
      <c r="A992" s="5"/>
      <c r="B992" s="5"/>
      <c r="C992" s="5"/>
      <c r="D992" s="5"/>
      <c r="E992" s="5"/>
    </row>
    <row r="993" spans="1:5" ht="16.5" customHeight="1">
      <c r="A993" s="5"/>
      <c r="B993" s="5"/>
      <c r="C993" s="5"/>
      <c r="D993" s="5"/>
      <c r="E993" s="5"/>
    </row>
    <row r="994" spans="1:5" ht="16.5" customHeight="1">
      <c r="A994" s="5"/>
      <c r="B994" s="5"/>
      <c r="C994" s="5"/>
      <c r="D994" s="5"/>
      <c r="E994" s="5"/>
    </row>
    <row r="995" spans="1:5" ht="16.5" customHeight="1">
      <c r="A995" s="5"/>
      <c r="B995" s="5"/>
      <c r="C995" s="5"/>
      <c r="D995" s="5"/>
      <c r="E995" s="5"/>
    </row>
    <row r="996" spans="1:5" ht="16.5" customHeight="1">
      <c r="A996" s="5"/>
      <c r="B996" s="5"/>
      <c r="C996" s="5"/>
      <c r="D996" s="5"/>
      <c r="E996" s="5"/>
    </row>
    <row r="997" spans="1:5" ht="16.5" customHeight="1">
      <c r="A997" s="5"/>
      <c r="B997" s="5"/>
      <c r="C997" s="5"/>
      <c r="D997" s="5"/>
      <c r="E997" s="5"/>
    </row>
    <row r="998" spans="1:5" ht="16.5" customHeight="1">
      <c r="A998" s="5"/>
      <c r="B998" s="5"/>
      <c r="C998" s="5"/>
      <c r="D998" s="5"/>
      <c r="E998" s="5"/>
    </row>
    <row r="999" spans="1:5" ht="16.5" customHeight="1">
      <c r="A999" s="5"/>
      <c r="B999" s="5"/>
      <c r="C999" s="5"/>
      <c r="D999" s="5"/>
      <c r="E999" s="5"/>
    </row>
    <row r="1000" spans="1:5" ht="16.5" customHeight="1">
      <c r="A1000" s="5"/>
      <c r="B1000" s="5"/>
      <c r="C1000" s="5"/>
      <c r="D1000" s="5"/>
      <c r="E1000" s="5"/>
    </row>
  </sheetData>
  <mergeCells count="1">
    <mergeCell ref="A23:E23"/>
  </mergeCells>
  <phoneticPr fontId="3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2.28515625" customWidth="1"/>
    <col min="3" max="3" width="14.7109375" customWidth="1"/>
    <col min="4" max="4" width="15.7109375" customWidth="1"/>
    <col min="5" max="5" width="58.28515625" customWidth="1"/>
    <col min="6" max="6" width="12.28515625" customWidth="1"/>
    <col min="7" max="7" width="28.28515625" customWidth="1"/>
    <col min="8" max="26" width="8.7109375" customWidth="1"/>
  </cols>
  <sheetData>
    <row r="1" spans="1:7" ht="16.5" customHeight="1">
      <c r="A1" s="11" t="s">
        <v>580</v>
      </c>
      <c r="B1" s="11" t="s">
        <v>2</v>
      </c>
      <c r="C1" s="11" t="s">
        <v>581</v>
      </c>
      <c r="D1" s="11" t="s">
        <v>582</v>
      </c>
      <c r="E1" s="11" t="s">
        <v>583</v>
      </c>
      <c r="F1" s="11" t="s">
        <v>584</v>
      </c>
      <c r="G1" s="11" t="s">
        <v>20</v>
      </c>
    </row>
    <row r="2" spans="1:7" ht="16.5" customHeight="1">
      <c r="A2" s="195" t="s">
        <v>28</v>
      </c>
      <c r="B2" s="195" t="s">
        <v>23</v>
      </c>
      <c r="C2" s="195" t="s">
        <v>585</v>
      </c>
      <c r="D2" s="195" t="s">
        <v>586</v>
      </c>
      <c r="E2" s="12" t="s">
        <v>587</v>
      </c>
      <c r="F2" s="195" t="s">
        <v>588</v>
      </c>
      <c r="G2" s="12"/>
    </row>
    <row r="3" spans="1:7" ht="16.5" customHeight="1">
      <c r="A3" s="196"/>
      <c r="B3" s="196"/>
      <c r="C3" s="196"/>
      <c r="D3" s="196"/>
      <c r="E3" s="12" t="s">
        <v>589</v>
      </c>
      <c r="F3" s="196"/>
      <c r="G3" s="12"/>
    </row>
    <row r="4" spans="1:7" ht="16.5" customHeight="1">
      <c r="A4" s="194"/>
      <c r="B4" s="194"/>
      <c r="C4" s="194"/>
      <c r="D4" s="194"/>
      <c r="E4" s="12" t="s">
        <v>590</v>
      </c>
      <c r="F4" s="194"/>
      <c r="G4" s="12"/>
    </row>
    <row r="5" spans="1:7" ht="16.5" customHeight="1">
      <c r="A5" s="12" t="s">
        <v>89</v>
      </c>
      <c r="B5" s="12" t="s">
        <v>23</v>
      </c>
      <c r="C5" s="12" t="s">
        <v>591</v>
      </c>
      <c r="D5" s="12" t="s">
        <v>592</v>
      </c>
      <c r="E5" s="12" t="s">
        <v>593</v>
      </c>
      <c r="F5" s="12" t="s">
        <v>594</v>
      </c>
      <c r="G5" s="12" t="s">
        <v>595</v>
      </c>
    </row>
    <row r="6" spans="1:7" ht="16.5" customHeight="1">
      <c r="A6" s="195" t="s">
        <v>129</v>
      </c>
      <c r="B6" s="195" t="s">
        <v>23</v>
      </c>
      <c r="C6" s="195" t="s">
        <v>596</v>
      </c>
      <c r="D6" s="195" t="s">
        <v>597</v>
      </c>
      <c r="E6" s="12" t="s">
        <v>598</v>
      </c>
      <c r="F6" s="195" t="s">
        <v>594</v>
      </c>
      <c r="G6" s="195" t="s">
        <v>599</v>
      </c>
    </row>
    <row r="7" spans="1:7" ht="16.5" customHeight="1">
      <c r="A7" s="194"/>
      <c r="B7" s="194"/>
      <c r="C7" s="194"/>
      <c r="D7" s="194"/>
      <c r="E7" s="12" t="s">
        <v>600</v>
      </c>
      <c r="F7" s="194"/>
      <c r="G7" s="194"/>
    </row>
    <row r="8" spans="1:7" ht="16.5" customHeight="1">
      <c r="A8" s="195" t="s">
        <v>177</v>
      </c>
      <c r="B8" s="195" t="s">
        <v>23</v>
      </c>
      <c r="C8" s="195" t="s">
        <v>601</v>
      </c>
      <c r="D8" s="195" t="s">
        <v>602</v>
      </c>
      <c r="E8" s="12" t="s">
        <v>603</v>
      </c>
      <c r="F8" s="195" t="s">
        <v>594</v>
      </c>
      <c r="G8" s="195" t="s">
        <v>604</v>
      </c>
    </row>
    <row r="9" spans="1:7" ht="16.5" customHeight="1">
      <c r="A9" s="196"/>
      <c r="B9" s="196"/>
      <c r="C9" s="196"/>
      <c r="D9" s="196"/>
      <c r="E9" s="12" t="s">
        <v>605</v>
      </c>
      <c r="F9" s="196"/>
      <c r="G9" s="196"/>
    </row>
    <row r="10" spans="1:7" ht="16.5" customHeight="1">
      <c r="A10" s="196"/>
      <c r="B10" s="196"/>
      <c r="C10" s="196"/>
      <c r="D10" s="196"/>
      <c r="E10" s="12" t="s">
        <v>606</v>
      </c>
      <c r="F10" s="196"/>
      <c r="G10" s="196"/>
    </row>
    <row r="11" spans="1:7" ht="16.5" customHeight="1">
      <c r="A11" s="196"/>
      <c r="B11" s="196"/>
      <c r="C11" s="196"/>
      <c r="D11" s="196"/>
      <c r="E11" s="12" t="s">
        <v>607</v>
      </c>
      <c r="F11" s="196"/>
      <c r="G11" s="196"/>
    </row>
    <row r="12" spans="1:7" ht="16.5" customHeight="1">
      <c r="A12" s="196"/>
      <c r="B12" s="196"/>
      <c r="C12" s="196"/>
      <c r="D12" s="196"/>
      <c r="E12" s="12" t="s">
        <v>608</v>
      </c>
      <c r="F12" s="196"/>
      <c r="G12" s="196"/>
    </row>
    <row r="13" spans="1:7" ht="16.5" customHeight="1">
      <c r="A13" s="196"/>
      <c r="B13" s="196"/>
      <c r="C13" s="196"/>
      <c r="D13" s="196"/>
      <c r="E13" s="12" t="s">
        <v>609</v>
      </c>
      <c r="F13" s="196"/>
      <c r="G13" s="196"/>
    </row>
    <row r="14" spans="1:7" ht="16.5" customHeight="1">
      <c r="A14" s="196"/>
      <c r="B14" s="196"/>
      <c r="C14" s="196"/>
      <c r="D14" s="196"/>
      <c r="E14" s="12" t="s">
        <v>610</v>
      </c>
      <c r="F14" s="196"/>
      <c r="G14" s="196"/>
    </row>
    <row r="15" spans="1:7" ht="16.5" customHeight="1">
      <c r="A15" s="194"/>
      <c r="B15" s="194"/>
      <c r="C15" s="194"/>
      <c r="D15" s="194"/>
      <c r="E15" s="12" t="s">
        <v>611</v>
      </c>
      <c r="F15" s="194"/>
      <c r="G15" s="194"/>
    </row>
    <row r="16" spans="1:7" ht="16.5" customHeight="1">
      <c r="A16" s="195" t="s">
        <v>245</v>
      </c>
      <c r="B16" s="195" t="s">
        <v>23</v>
      </c>
      <c r="C16" s="195" t="s">
        <v>612</v>
      </c>
      <c r="D16" s="195" t="s">
        <v>613</v>
      </c>
      <c r="E16" s="12" t="s">
        <v>614</v>
      </c>
      <c r="F16" s="195" t="s">
        <v>594</v>
      </c>
      <c r="G16" s="12"/>
    </row>
    <row r="17" spans="1:7" ht="16.5" customHeight="1">
      <c r="A17" s="196"/>
      <c r="B17" s="196"/>
      <c r="C17" s="196"/>
      <c r="D17" s="196"/>
      <c r="E17" s="12" t="s">
        <v>615</v>
      </c>
      <c r="F17" s="196"/>
      <c r="G17" s="12"/>
    </row>
    <row r="18" spans="1:7" ht="16.5" customHeight="1">
      <c r="A18" s="194"/>
      <c r="B18" s="194"/>
      <c r="C18" s="194"/>
      <c r="D18" s="194"/>
      <c r="E18" s="12" t="s">
        <v>616</v>
      </c>
      <c r="F18" s="194"/>
      <c r="G18" s="12"/>
    </row>
    <row r="19" spans="1:7" ht="16.5" customHeight="1">
      <c r="A19" s="195" t="s">
        <v>227</v>
      </c>
      <c r="B19" s="195" t="s">
        <v>23</v>
      </c>
      <c r="C19" s="195" t="s">
        <v>617</v>
      </c>
      <c r="D19" s="195" t="s">
        <v>618</v>
      </c>
      <c r="E19" s="12" t="s">
        <v>619</v>
      </c>
      <c r="F19" s="195" t="s">
        <v>594</v>
      </c>
      <c r="G19" s="12"/>
    </row>
    <row r="20" spans="1:7" ht="16.5" customHeight="1">
      <c r="A20" s="196"/>
      <c r="B20" s="196"/>
      <c r="C20" s="196"/>
      <c r="D20" s="196"/>
      <c r="E20" s="12" t="s">
        <v>620</v>
      </c>
      <c r="F20" s="196"/>
      <c r="G20" s="12"/>
    </row>
    <row r="21" spans="1:7" ht="16.5" customHeight="1">
      <c r="A21" s="196"/>
      <c r="B21" s="196"/>
      <c r="C21" s="196"/>
      <c r="D21" s="196"/>
      <c r="E21" s="12" t="s">
        <v>621</v>
      </c>
      <c r="F21" s="196"/>
      <c r="G21" s="12"/>
    </row>
    <row r="22" spans="1:7" ht="16.5" customHeight="1">
      <c r="A22" s="196"/>
      <c r="B22" s="196"/>
      <c r="C22" s="196"/>
      <c r="D22" s="196"/>
      <c r="E22" s="12" t="s">
        <v>622</v>
      </c>
      <c r="F22" s="196"/>
      <c r="G22" s="12"/>
    </row>
    <row r="23" spans="1:7" ht="16.5" customHeight="1">
      <c r="A23" s="194"/>
      <c r="B23" s="194"/>
      <c r="C23" s="194"/>
      <c r="D23" s="194"/>
      <c r="E23" s="12" t="s">
        <v>623</v>
      </c>
      <c r="F23" s="194"/>
      <c r="G23" s="12"/>
    </row>
    <row r="24" spans="1:7" ht="16.5" customHeight="1">
      <c r="A24" s="195" t="s">
        <v>234</v>
      </c>
      <c r="B24" s="195" t="s">
        <v>23</v>
      </c>
      <c r="C24" s="195" t="s">
        <v>624</v>
      </c>
      <c r="D24" s="195" t="s">
        <v>625</v>
      </c>
      <c r="E24" s="12" t="s">
        <v>626</v>
      </c>
      <c r="F24" s="195" t="s">
        <v>594</v>
      </c>
      <c r="G24" s="12"/>
    </row>
    <row r="25" spans="1:7" ht="16.5" customHeight="1">
      <c r="A25" s="196"/>
      <c r="B25" s="196"/>
      <c r="C25" s="196"/>
      <c r="D25" s="196"/>
      <c r="E25" s="12" t="s">
        <v>627</v>
      </c>
      <c r="F25" s="196"/>
      <c r="G25" s="12"/>
    </row>
    <row r="26" spans="1:7" ht="16.5" customHeight="1">
      <c r="A26" s="196"/>
      <c r="B26" s="196"/>
      <c r="C26" s="196"/>
      <c r="D26" s="196"/>
      <c r="E26" s="12" t="s">
        <v>628</v>
      </c>
      <c r="F26" s="196"/>
      <c r="G26" s="12"/>
    </row>
    <row r="27" spans="1:7" ht="16.5" customHeight="1">
      <c r="A27" s="196"/>
      <c r="B27" s="196"/>
      <c r="C27" s="196"/>
      <c r="D27" s="196"/>
      <c r="E27" s="12" t="s">
        <v>629</v>
      </c>
      <c r="F27" s="196"/>
      <c r="G27" s="12"/>
    </row>
    <row r="28" spans="1:7" ht="16.5" customHeight="1">
      <c r="A28" s="196"/>
      <c r="B28" s="196"/>
      <c r="C28" s="196"/>
      <c r="D28" s="196"/>
      <c r="E28" s="12" t="s">
        <v>630</v>
      </c>
      <c r="F28" s="196"/>
      <c r="G28" s="12"/>
    </row>
    <row r="29" spans="1:7" ht="16.5" customHeight="1">
      <c r="A29" s="196"/>
      <c r="B29" s="196"/>
      <c r="C29" s="196"/>
      <c r="D29" s="196"/>
      <c r="E29" s="12" t="s">
        <v>631</v>
      </c>
      <c r="F29" s="196"/>
      <c r="G29" s="12"/>
    </row>
    <row r="30" spans="1:7" ht="16.5" customHeight="1">
      <c r="A30" s="196"/>
      <c r="B30" s="196"/>
      <c r="C30" s="196"/>
      <c r="D30" s="196"/>
      <c r="E30" s="12" t="s">
        <v>632</v>
      </c>
      <c r="F30" s="196"/>
      <c r="G30" s="12"/>
    </row>
    <row r="31" spans="1:7" ht="16.5" customHeight="1">
      <c r="A31" s="196"/>
      <c r="B31" s="196"/>
      <c r="C31" s="196"/>
      <c r="D31" s="196"/>
      <c r="E31" s="12" t="s">
        <v>633</v>
      </c>
      <c r="F31" s="196"/>
      <c r="G31" s="12"/>
    </row>
    <row r="32" spans="1:7" ht="16.5" customHeight="1">
      <c r="A32" s="194"/>
      <c r="B32" s="194"/>
      <c r="C32" s="194"/>
      <c r="D32" s="194"/>
      <c r="E32" s="12" t="s">
        <v>634</v>
      </c>
      <c r="F32" s="194"/>
      <c r="G32" s="12"/>
    </row>
    <row r="33" spans="1:7" ht="16.5" customHeight="1">
      <c r="A33" s="195" t="s">
        <v>350</v>
      </c>
      <c r="B33" s="195" t="s">
        <v>23</v>
      </c>
      <c r="C33" s="195" t="s">
        <v>635</v>
      </c>
      <c r="D33" s="195" t="s">
        <v>636</v>
      </c>
      <c r="E33" s="12" t="s">
        <v>637</v>
      </c>
      <c r="F33" s="195" t="s">
        <v>594</v>
      </c>
      <c r="G33" s="12"/>
    </row>
    <row r="34" spans="1:7" ht="16.5" customHeight="1">
      <c r="A34" s="196"/>
      <c r="B34" s="196"/>
      <c r="C34" s="196"/>
      <c r="D34" s="196"/>
      <c r="E34" s="12" t="s">
        <v>638</v>
      </c>
      <c r="F34" s="196"/>
      <c r="G34" s="12"/>
    </row>
    <row r="35" spans="1:7" ht="16.5" customHeight="1">
      <c r="A35" s="196"/>
      <c r="B35" s="196"/>
      <c r="C35" s="196"/>
      <c r="D35" s="196"/>
      <c r="E35" s="12" t="s">
        <v>629</v>
      </c>
      <c r="F35" s="196"/>
      <c r="G35" s="12"/>
    </row>
    <row r="36" spans="1:7" ht="16.5" customHeight="1">
      <c r="A36" s="194"/>
      <c r="B36" s="194"/>
      <c r="C36" s="194"/>
      <c r="D36" s="194"/>
      <c r="E36" s="12" t="s">
        <v>639</v>
      </c>
      <c r="F36" s="194"/>
      <c r="G36" s="12"/>
    </row>
    <row r="37" spans="1:7" ht="16.5" customHeight="1">
      <c r="A37" s="195" t="s">
        <v>470</v>
      </c>
      <c r="B37" s="195" t="s">
        <v>23</v>
      </c>
      <c r="C37" s="195" t="s">
        <v>640</v>
      </c>
      <c r="D37" s="195" t="s">
        <v>641</v>
      </c>
      <c r="E37" s="12" t="s">
        <v>642</v>
      </c>
      <c r="F37" s="195" t="s">
        <v>594</v>
      </c>
      <c r="G37" s="12"/>
    </row>
    <row r="38" spans="1:7" ht="16.5" customHeight="1">
      <c r="A38" s="194"/>
      <c r="B38" s="194"/>
      <c r="C38" s="194"/>
      <c r="D38" s="194"/>
      <c r="E38" s="12" t="s">
        <v>643</v>
      </c>
      <c r="F38" s="194"/>
      <c r="G38" s="12"/>
    </row>
    <row r="39" spans="1:7" ht="16.5" customHeight="1">
      <c r="A39" s="195" t="s">
        <v>644</v>
      </c>
      <c r="B39" s="195"/>
      <c r="C39" s="195" t="s">
        <v>645</v>
      </c>
      <c r="D39" s="195" t="s">
        <v>645</v>
      </c>
      <c r="E39" s="12" t="s">
        <v>646</v>
      </c>
      <c r="F39" s="195" t="s">
        <v>594</v>
      </c>
      <c r="G39" s="12" t="s">
        <v>647</v>
      </c>
    </row>
    <row r="40" spans="1:7" ht="16.5" customHeight="1">
      <c r="A40" s="194"/>
      <c r="B40" s="194"/>
      <c r="C40" s="194"/>
      <c r="D40" s="194"/>
      <c r="E40" s="12" t="s">
        <v>648</v>
      </c>
      <c r="F40" s="194"/>
      <c r="G40" s="12" t="s">
        <v>649</v>
      </c>
    </row>
    <row r="41" spans="1:7" ht="16.5" customHeight="1">
      <c r="A41" s="195" t="s">
        <v>650</v>
      </c>
      <c r="B41" s="195" t="s">
        <v>651</v>
      </c>
      <c r="C41" s="195" t="s">
        <v>652</v>
      </c>
      <c r="D41" s="195" t="s">
        <v>653</v>
      </c>
      <c r="E41" s="12" t="s">
        <v>654</v>
      </c>
      <c r="F41" s="193"/>
      <c r="G41" s="12"/>
    </row>
    <row r="42" spans="1:7" ht="16.5" customHeight="1">
      <c r="A42" s="196"/>
      <c r="B42" s="196"/>
      <c r="C42" s="196"/>
      <c r="D42" s="196"/>
      <c r="E42" s="12" t="s">
        <v>655</v>
      </c>
      <c r="F42" s="196"/>
      <c r="G42" s="12"/>
    </row>
    <row r="43" spans="1:7" ht="16.5" customHeight="1">
      <c r="A43" s="196"/>
      <c r="B43" s="196"/>
      <c r="C43" s="196"/>
      <c r="D43" s="196"/>
      <c r="E43" s="12" t="s">
        <v>656</v>
      </c>
      <c r="F43" s="196"/>
      <c r="G43" s="12"/>
    </row>
    <row r="44" spans="1:7" ht="16.5" customHeight="1">
      <c r="A44" s="194"/>
      <c r="B44" s="194"/>
      <c r="C44" s="194"/>
      <c r="D44" s="194"/>
      <c r="E44" s="12" t="s">
        <v>657</v>
      </c>
      <c r="F44" s="194"/>
      <c r="G44" s="12"/>
    </row>
    <row r="45" spans="1:7" ht="16.5" customHeight="1">
      <c r="A45" s="195" t="s">
        <v>658</v>
      </c>
      <c r="B45" s="195" t="s">
        <v>651</v>
      </c>
      <c r="C45" s="195" t="s">
        <v>659</v>
      </c>
      <c r="D45" s="195" t="s">
        <v>660</v>
      </c>
      <c r="E45" s="12" t="s">
        <v>661</v>
      </c>
      <c r="F45" s="193"/>
      <c r="G45" s="12"/>
    </row>
    <row r="46" spans="1:7" ht="16.5" customHeight="1">
      <c r="A46" s="194"/>
      <c r="B46" s="194"/>
      <c r="C46" s="194"/>
      <c r="D46" s="194"/>
      <c r="E46" s="12" t="s">
        <v>662</v>
      </c>
      <c r="F46" s="194"/>
      <c r="G46" s="12" t="s">
        <v>663</v>
      </c>
    </row>
    <row r="47" spans="1:7" ht="16.5" customHeight="1">
      <c r="A47" s="195" t="s">
        <v>664</v>
      </c>
      <c r="B47" s="195" t="s">
        <v>651</v>
      </c>
      <c r="C47" s="195" t="s">
        <v>665</v>
      </c>
      <c r="D47" s="195" t="s">
        <v>666</v>
      </c>
      <c r="E47" s="12" t="s">
        <v>667</v>
      </c>
      <c r="F47" s="193"/>
      <c r="G47" s="12" t="s">
        <v>668</v>
      </c>
    </row>
    <row r="48" spans="1:7" ht="16.5" customHeight="1">
      <c r="A48" s="194"/>
      <c r="B48" s="194"/>
      <c r="C48" s="194"/>
      <c r="D48" s="194"/>
      <c r="E48" s="12" t="s">
        <v>669</v>
      </c>
      <c r="F48" s="194"/>
      <c r="G48" s="12"/>
    </row>
    <row r="49" spans="1:7" ht="16.5" customHeight="1">
      <c r="A49" s="195" t="s">
        <v>670</v>
      </c>
      <c r="B49" s="195" t="s">
        <v>651</v>
      </c>
      <c r="C49" s="195" t="s">
        <v>596</v>
      </c>
      <c r="D49" s="195" t="s">
        <v>597</v>
      </c>
      <c r="E49" s="12" t="s">
        <v>671</v>
      </c>
      <c r="F49" s="193"/>
      <c r="G49" s="12" t="s">
        <v>672</v>
      </c>
    </row>
    <row r="50" spans="1:7" ht="16.5" customHeight="1">
      <c r="A50" s="194"/>
      <c r="B50" s="194"/>
      <c r="C50" s="194"/>
      <c r="D50" s="194"/>
      <c r="E50" s="12" t="s">
        <v>673</v>
      </c>
      <c r="F50" s="194"/>
      <c r="G50" s="12"/>
    </row>
    <row r="51" spans="1:7" ht="16.5" customHeight="1">
      <c r="A51" s="12" t="s">
        <v>674</v>
      </c>
      <c r="B51" s="12" t="s">
        <v>651</v>
      </c>
      <c r="C51" s="12" t="s">
        <v>591</v>
      </c>
      <c r="D51" s="12" t="s">
        <v>592</v>
      </c>
      <c r="E51" s="12" t="s">
        <v>675</v>
      </c>
      <c r="F51" s="12"/>
      <c r="G51" s="12"/>
    </row>
    <row r="52" spans="1:7" ht="16.5" customHeight="1">
      <c r="A52" s="195" t="s">
        <v>676</v>
      </c>
      <c r="B52" s="195" t="s">
        <v>651</v>
      </c>
      <c r="C52" s="195" t="s">
        <v>677</v>
      </c>
      <c r="D52" s="195" t="s">
        <v>678</v>
      </c>
      <c r="E52" s="12" t="s">
        <v>679</v>
      </c>
      <c r="F52" s="12"/>
      <c r="G52" s="12"/>
    </row>
    <row r="53" spans="1:7" ht="16.5" customHeight="1">
      <c r="A53" s="194"/>
      <c r="B53" s="194"/>
      <c r="C53" s="194"/>
      <c r="D53" s="194"/>
      <c r="E53" s="12" t="s">
        <v>680</v>
      </c>
      <c r="F53" s="12"/>
      <c r="G53" s="12"/>
    </row>
    <row r="54" spans="1:7" ht="16.5" customHeight="1">
      <c r="A54" s="195" t="s">
        <v>681</v>
      </c>
      <c r="B54" s="195" t="s">
        <v>651</v>
      </c>
      <c r="C54" s="195" t="s">
        <v>682</v>
      </c>
      <c r="D54" s="195" t="s">
        <v>683</v>
      </c>
      <c r="E54" s="12" t="s">
        <v>684</v>
      </c>
      <c r="F54" s="12"/>
      <c r="G54" s="12"/>
    </row>
    <row r="55" spans="1:7" ht="16.5" customHeight="1">
      <c r="A55" s="196"/>
      <c r="B55" s="196"/>
      <c r="C55" s="196"/>
      <c r="D55" s="196"/>
      <c r="E55" s="12" t="s">
        <v>685</v>
      </c>
      <c r="F55" s="12"/>
      <c r="G55" s="12"/>
    </row>
    <row r="56" spans="1:7" ht="16.5" customHeight="1">
      <c r="A56" s="196"/>
      <c r="B56" s="196"/>
      <c r="C56" s="196"/>
      <c r="D56" s="196"/>
      <c r="E56" s="12" t="s">
        <v>686</v>
      </c>
      <c r="F56" s="12"/>
      <c r="G56" s="12" t="s">
        <v>687</v>
      </c>
    </row>
    <row r="57" spans="1:7" ht="16.5" customHeight="1">
      <c r="A57" s="194"/>
      <c r="B57" s="194"/>
      <c r="C57" s="194"/>
      <c r="D57" s="194"/>
      <c r="E57" s="12" t="s">
        <v>688</v>
      </c>
      <c r="F57" s="12"/>
      <c r="G57" s="12"/>
    </row>
    <row r="58" spans="1:7" ht="16.5" customHeight="1">
      <c r="A58" s="195" t="s">
        <v>689</v>
      </c>
      <c r="B58" s="195" t="s">
        <v>651</v>
      </c>
      <c r="C58" s="195" t="s">
        <v>690</v>
      </c>
      <c r="D58" s="195" t="s">
        <v>691</v>
      </c>
      <c r="E58" s="12" t="s">
        <v>692</v>
      </c>
      <c r="F58" s="12"/>
      <c r="G58" s="12"/>
    </row>
    <row r="59" spans="1:7" ht="16.5" customHeight="1">
      <c r="A59" s="196"/>
      <c r="B59" s="196"/>
      <c r="C59" s="196"/>
      <c r="D59" s="196"/>
      <c r="E59" s="12" t="s">
        <v>693</v>
      </c>
      <c r="F59" s="12"/>
      <c r="G59" s="12"/>
    </row>
    <row r="60" spans="1:7" ht="16.5" customHeight="1">
      <c r="A60" s="196"/>
      <c r="B60" s="196"/>
      <c r="C60" s="196"/>
      <c r="D60" s="196"/>
      <c r="E60" s="12" t="s">
        <v>694</v>
      </c>
      <c r="F60" s="12"/>
      <c r="G60" s="12"/>
    </row>
    <row r="61" spans="1:7" ht="16.5" customHeight="1">
      <c r="A61" s="194"/>
      <c r="B61" s="194"/>
      <c r="C61" s="194"/>
      <c r="D61" s="194"/>
      <c r="E61" s="12" t="s">
        <v>695</v>
      </c>
      <c r="F61" s="12"/>
      <c r="G61" s="12"/>
    </row>
    <row r="62" spans="1:7" ht="16.5" customHeight="1">
      <c r="A62" s="12" t="s">
        <v>696</v>
      </c>
      <c r="B62" s="12" t="s">
        <v>651</v>
      </c>
      <c r="C62" s="12" t="s">
        <v>697</v>
      </c>
      <c r="D62" s="12" t="s">
        <v>698</v>
      </c>
      <c r="E62" s="12" t="s">
        <v>699</v>
      </c>
      <c r="F62" s="12"/>
      <c r="G62" s="12"/>
    </row>
    <row r="63" spans="1:7" ht="16.5" customHeight="1">
      <c r="A63" s="12" t="s">
        <v>700</v>
      </c>
      <c r="B63" s="12" t="s">
        <v>651</v>
      </c>
      <c r="C63" s="12" t="s">
        <v>701</v>
      </c>
      <c r="D63" s="12" t="s">
        <v>702</v>
      </c>
      <c r="E63" s="12"/>
      <c r="F63" s="12"/>
      <c r="G63" s="12" t="s">
        <v>703</v>
      </c>
    </row>
    <row r="64" spans="1:7" ht="16.5" customHeight="1">
      <c r="A64" s="12" t="s">
        <v>704</v>
      </c>
      <c r="B64" s="12" t="s">
        <v>651</v>
      </c>
      <c r="C64" s="12" t="s">
        <v>705</v>
      </c>
      <c r="D64" s="12" t="s">
        <v>706</v>
      </c>
      <c r="E64" s="12"/>
      <c r="F64" s="12"/>
      <c r="G64" s="12" t="s">
        <v>703</v>
      </c>
    </row>
    <row r="65" spans="1:7" ht="16.5" customHeight="1">
      <c r="A65" s="12" t="s">
        <v>707</v>
      </c>
      <c r="B65" s="12" t="s">
        <v>651</v>
      </c>
      <c r="C65" s="12" t="s">
        <v>708</v>
      </c>
      <c r="D65" s="12" t="s">
        <v>709</v>
      </c>
      <c r="E65" s="12"/>
      <c r="F65" s="12"/>
      <c r="G65" s="12" t="s">
        <v>703</v>
      </c>
    </row>
    <row r="66" spans="1:7" ht="16.5" customHeight="1">
      <c r="A66" s="195" t="s">
        <v>710</v>
      </c>
      <c r="B66" s="195" t="s">
        <v>651</v>
      </c>
      <c r="C66" s="195" t="s">
        <v>711</v>
      </c>
      <c r="D66" s="195" t="s">
        <v>712</v>
      </c>
      <c r="E66" s="12" t="s">
        <v>713</v>
      </c>
      <c r="F66" s="12"/>
      <c r="G66" s="12" t="s">
        <v>714</v>
      </c>
    </row>
    <row r="67" spans="1:7" ht="16.5" customHeight="1">
      <c r="A67" s="194"/>
      <c r="B67" s="194"/>
      <c r="C67" s="194"/>
      <c r="D67" s="194"/>
      <c r="E67" s="12" t="s">
        <v>715</v>
      </c>
      <c r="F67" s="12"/>
      <c r="G67" s="12"/>
    </row>
    <row r="68" spans="1:7" ht="16.5" customHeight="1">
      <c r="A68" s="12" t="s">
        <v>716</v>
      </c>
      <c r="B68" s="12" t="s">
        <v>651</v>
      </c>
      <c r="C68" s="12" t="s">
        <v>717</v>
      </c>
      <c r="D68" s="12" t="s">
        <v>718</v>
      </c>
      <c r="E68" s="12"/>
      <c r="F68" s="12"/>
      <c r="G68" s="12" t="s">
        <v>703</v>
      </c>
    </row>
    <row r="69" spans="1:7" ht="16.5" customHeight="1">
      <c r="A69" s="12" t="s">
        <v>719</v>
      </c>
      <c r="B69" s="12" t="s">
        <v>651</v>
      </c>
      <c r="C69" s="12" t="s">
        <v>720</v>
      </c>
      <c r="D69" s="12" t="s">
        <v>721</v>
      </c>
      <c r="E69" s="12"/>
      <c r="F69" s="12"/>
      <c r="G69" s="12" t="s">
        <v>703</v>
      </c>
    </row>
    <row r="70" spans="1:7" ht="16.5" customHeight="1">
      <c r="A70" s="12"/>
      <c r="B70" s="12"/>
      <c r="C70" s="12"/>
      <c r="D70" s="12"/>
      <c r="E70" s="12"/>
      <c r="F70" s="12"/>
      <c r="G70" s="12"/>
    </row>
    <row r="71" spans="1:7" ht="16.5" customHeight="1">
      <c r="A71" s="12"/>
      <c r="B71" s="12"/>
      <c r="C71" s="12"/>
      <c r="D71" s="12"/>
      <c r="E71" s="12"/>
      <c r="F71" s="12"/>
      <c r="G71" s="12"/>
    </row>
    <row r="72" spans="1:7" ht="16.5" customHeight="1">
      <c r="A72" s="13"/>
      <c r="B72" s="13"/>
      <c r="C72" s="13"/>
      <c r="D72" s="13"/>
      <c r="E72" s="13"/>
      <c r="F72" s="13"/>
      <c r="G72" s="13"/>
    </row>
    <row r="73" spans="1:7" ht="16.5" customHeight="1">
      <c r="A73" s="13"/>
      <c r="B73" s="13"/>
      <c r="C73" s="13"/>
      <c r="D73" s="13"/>
      <c r="E73" s="13"/>
      <c r="F73" s="13"/>
      <c r="G73" s="13"/>
    </row>
    <row r="74" spans="1:7" ht="16.5" customHeight="1">
      <c r="A74" s="13"/>
      <c r="B74" s="13"/>
      <c r="C74" s="13"/>
      <c r="D74" s="13"/>
      <c r="E74" s="13"/>
      <c r="F74" s="13"/>
      <c r="G74" s="13"/>
    </row>
    <row r="75" spans="1:7" ht="16.5" customHeight="1">
      <c r="A75" s="13"/>
      <c r="B75" s="13"/>
      <c r="C75" s="13"/>
      <c r="D75" s="13"/>
      <c r="E75" s="13"/>
      <c r="F75" s="13"/>
      <c r="G75" s="13"/>
    </row>
    <row r="76" spans="1:7" ht="16.5" customHeight="1">
      <c r="A76" s="13"/>
      <c r="B76" s="13"/>
      <c r="C76" s="13"/>
      <c r="D76" s="13"/>
      <c r="E76" s="13"/>
      <c r="F76" s="13"/>
      <c r="G76" s="13"/>
    </row>
    <row r="77" spans="1:7" ht="16.5" customHeight="1">
      <c r="A77" s="13"/>
      <c r="B77" s="13"/>
      <c r="C77" s="13"/>
      <c r="D77" s="13"/>
      <c r="E77" s="13"/>
      <c r="F77" s="13"/>
      <c r="G77" s="13"/>
    </row>
    <row r="78" spans="1:7" ht="16.5" customHeight="1">
      <c r="A78" s="13"/>
      <c r="B78" s="13"/>
      <c r="C78" s="13"/>
      <c r="D78" s="13"/>
      <c r="E78" s="13"/>
      <c r="F78" s="13"/>
      <c r="G78" s="13"/>
    </row>
    <row r="79" spans="1:7" ht="16.5" customHeight="1">
      <c r="A79" s="13"/>
      <c r="B79" s="13"/>
      <c r="C79" s="13"/>
      <c r="D79" s="13"/>
      <c r="E79" s="13"/>
      <c r="F79" s="13"/>
      <c r="G79" s="13"/>
    </row>
    <row r="80" spans="1:7" ht="16.5" customHeight="1">
      <c r="A80" s="13"/>
      <c r="B80" s="13"/>
      <c r="C80" s="13"/>
      <c r="D80" s="13"/>
      <c r="E80" s="13"/>
      <c r="F80" s="13"/>
      <c r="G80" s="13"/>
    </row>
    <row r="81" spans="1:7" ht="16.5" customHeight="1">
      <c r="A81" s="13"/>
      <c r="B81" s="13"/>
      <c r="C81" s="13"/>
      <c r="D81" s="13"/>
      <c r="E81" s="13"/>
      <c r="F81" s="13"/>
      <c r="G81" s="13"/>
    </row>
    <row r="82" spans="1:7" ht="16.5" customHeight="1">
      <c r="A82" s="13"/>
      <c r="B82" s="13"/>
      <c r="C82" s="13"/>
      <c r="D82" s="13"/>
      <c r="E82" s="13"/>
      <c r="F82" s="13"/>
      <c r="G82" s="13"/>
    </row>
    <row r="83" spans="1:7" ht="16.5" customHeight="1">
      <c r="A83" s="13"/>
      <c r="B83" s="13"/>
      <c r="C83" s="13"/>
      <c r="D83" s="13"/>
      <c r="E83" s="13"/>
      <c r="F83" s="13"/>
      <c r="G83" s="13"/>
    </row>
    <row r="84" spans="1:7" ht="16.5" customHeight="1">
      <c r="A84" s="13"/>
      <c r="B84" s="13"/>
      <c r="C84" s="13"/>
      <c r="D84" s="13"/>
      <c r="E84" s="13"/>
      <c r="F84" s="13"/>
      <c r="G84" s="13"/>
    </row>
    <row r="85" spans="1:7" ht="16.5" customHeight="1">
      <c r="A85" s="13"/>
      <c r="B85" s="13"/>
      <c r="C85" s="13"/>
      <c r="D85" s="13"/>
      <c r="E85" s="13"/>
      <c r="F85" s="13"/>
      <c r="G85" s="13"/>
    </row>
    <row r="86" spans="1:7" ht="16.5" customHeight="1">
      <c r="A86" s="13"/>
      <c r="B86" s="13"/>
      <c r="C86" s="13"/>
      <c r="D86" s="13"/>
      <c r="E86" s="13"/>
      <c r="F86" s="13"/>
      <c r="G86" s="13"/>
    </row>
    <row r="87" spans="1:7" ht="16.5" customHeight="1">
      <c r="A87" s="13"/>
      <c r="B87" s="13"/>
      <c r="C87" s="13"/>
      <c r="D87" s="13"/>
      <c r="E87" s="13"/>
      <c r="F87" s="13"/>
      <c r="G87" s="13"/>
    </row>
    <row r="88" spans="1:7" ht="16.5" customHeight="1">
      <c r="A88" s="13"/>
      <c r="B88" s="13"/>
      <c r="C88" s="13"/>
      <c r="D88" s="13"/>
      <c r="E88" s="13"/>
      <c r="F88" s="13"/>
      <c r="G88" s="13"/>
    </row>
    <row r="89" spans="1:7" ht="16.5" customHeight="1">
      <c r="A89" s="13"/>
      <c r="B89" s="13"/>
      <c r="C89" s="13"/>
      <c r="D89" s="13"/>
      <c r="E89" s="13"/>
      <c r="F89" s="13"/>
      <c r="G89" s="13"/>
    </row>
    <row r="90" spans="1:7" ht="16.5" customHeight="1">
      <c r="A90" s="13"/>
      <c r="B90" s="13"/>
      <c r="C90" s="13"/>
      <c r="D90" s="13"/>
      <c r="E90" s="13"/>
      <c r="F90" s="13"/>
      <c r="G90" s="13"/>
    </row>
    <row r="91" spans="1:7" ht="16.5" customHeight="1">
      <c r="A91" s="13"/>
      <c r="B91" s="13"/>
      <c r="C91" s="13"/>
      <c r="D91" s="13"/>
      <c r="E91" s="13"/>
      <c r="F91" s="13"/>
      <c r="G91" s="13"/>
    </row>
    <row r="92" spans="1:7" ht="16.5" customHeight="1">
      <c r="A92" s="13"/>
      <c r="B92" s="13"/>
      <c r="C92" s="13"/>
      <c r="D92" s="13"/>
      <c r="E92" s="13"/>
      <c r="F92" s="13"/>
      <c r="G92" s="13"/>
    </row>
    <row r="93" spans="1:7" ht="16.5" customHeight="1">
      <c r="A93" s="13"/>
      <c r="B93" s="13"/>
      <c r="C93" s="13"/>
      <c r="D93" s="13"/>
      <c r="E93" s="13"/>
      <c r="F93" s="13"/>
      <c r="G93" s="13"/>
    </row>
    <row r="94" spans="1:7" ht="16.5" customHeight="1">
      <c r="A94" s="13"/>
      <c r="B94" s="13"/>
      <c r="C94" s="13"/>
      <c r="D94" s="13"/>
      <c r="E94" s="13"/>
      <c r="F94" s="13"/>
      <c r="G94" s="13"/>
    </row>
    <row r="95" spans="1:7" ht="16.5" customHeight="1">
      <c r="A95" s="13"/>
      <c r="B95" s="13"/>
      <c r="C95" s="13"/>
      <c r="D95" s="13"/>
      <c r="E95" s="13"/>
      <c r="F95" s="13"/>
      <c r="G95" s="13"/>
    </row>
    <row r="96" spans="1:7" ht="16.5" customHeight="1">
      <c r="A96" s="13"/>
      <c r="B96" s="13"/>
      <c r="C96" s="13"/>
      <c r="D96" s="13"/>
      <c r="E96" s="13"/>
      <c r="F96" s="13"/>
      <c r="G96" s="13"/>
    </row>
    <row r="97" spans="1:7" ht="16.5" customHeight="1">
      <c r="A97" s="13"/>
      <c r="B97" s="13"/>
      <c r="C97" s="13"/>
      <c r="D97" s="13"/>
      <c r="E97" s="13"/>
      <c r="F97" s="13"/>
      <c r="G97" s="13"/>
    </row>
    <row r="98" spans="1:7" ht="16.5" customHeight="1">
      <c r="A98" s="13"/>
      <c r="B98" s="13"/>
      <c r="C98" s="13"/>
      <c r="D98" s="13"/>
      <c r="E98" s="13"/>
      <c r="F98" s="13"/>
      <c r="G98" s="13"/>
    </row>
    <row r="99" spans="1:7" ht="16.5" customHeight="1">
      <c r="A99" s="13"/>
      <c r="B99" s="13"/>
      <c r="C99" s="13"/>
      <c r="D99" s="13"/>
      <c r="E99" s="13"/>
      <c r="F99" s="13"/>
      <c r="G99" s="13"/>
    </row>
    <row r="100" spans="1:7" ht="16.5" customHeight="1">
      <c r="A100" s="13"/>
      <c r="B100" s="13"/>
      <c r="C100" s="13"/>
      <c r="D100" s="13"/>
      <c r="E100" s="13"/>
      <c r="F100" s="13"/>
      <c r="G100" s="13"/>
    </row>
    <row r="101" spans="1:7" ht="16.5" customHeight="1">
      <c r="A101" s="13"/>
      <c r="B101" s="13"/>
      <c r="C101" s="13"/>
      <c r="D101" s="13"/>
      <c r="E101" s="13"/>
      <c r="F101" s="13"/>
      <c r="G101" s="13"/>
    </row>
    <row r="102" spans="1:7" ht="16.5" customHeight="1">
      <c r="A102" s="13"/>
      <c r="B102" s="13"/>
      <c r="C102" s="13"/>
      <c r="D102" s="13"/>
      <c r="E102" s="13"/>
      <c r="F102" s="13"/>
      <c r="G102" s="13"/>
    </row>
    <row r="103" spans="1:7" ht="16.5" customHeight="1">
      <c r="A103" s="13"/>
      <c r="B103" s="13"/>
      <c r="C103" s="13"/>
      <c r="D103" s="13"/>
      <c r="E103" s="13"/>
      <c r="F103" s="13"/>
      <c r="G103" s="13"/>
    </row>
    <row r="104" spans="1:7" ht="16.5" customHeight="1">
      <c r="A104" s="13"/>
      <c r="B104" s="13"/>
      <c r="C104" s="13"/>
      <c r="D104" s="13"/>
      <c r="E104" s="13"/>
      <c r="F104" s="13"/>
      <c r="G104" s="13"/>
    </row>
    <row r="105" spans="1:7" ht="16.5" customHeight="1">
      <c r="A105" s="13"/>
      <c r="B105" s="13"/>
      <c r="C105" s="13"/>
      <c r="D105" s="13"/>
      <c r="E105" s="13"/>
      <c r="F105" s="13"/>
      <c r="G105" s="13"/>
    </row>
    <row r="106" spans="1:7" ht="16.5" customHeight="1">
      <c r="A106" s="13"/>
      <c r="B106" s="13"/>
      <c r="C106" s="13"/>
      <c r="D106" s="13"/>
      <c r="E106" s="13"/>
      <c r="F106" s="13"/>
      <c r="G106" s="13"/>
    </row>
    <row r="107" spans="1:7" ht="16.5" customHeight="1">
      <c r="A107" s="13"/>
      <c r="B107" s="13"/>
      <c r="C107" s="13"/>
      <c r="D107" s="13"/>
      <c r="E107" s="13"/>
      <c r="F107" s="13"/>
      <c r="G107" s="13"/>
    </row>
    <row r="108" spans="1:7" ht="16.5" customHeight="1">
      <c r="A108" s="13"/>
      <c r="B108" s="13"/>
      <c r="C108" s="13"/>
      <c r="D108" s="13"/>
      <c r="E108" s="13"/>
      <c r="F108" s="13"/>
      <c r="G108" s="13"/>
    </row>
    <row r="109" spans="1:7" ht="16.5" customHeight="1">
      <c r="A109" s="13"/>
      <c r="B109" s="13"/>
      <c r="C109" s="13"/>
      <c r="D109" s="13"/>
      <c r="E109" s="13"/>
      <c r="F109" s="13"/>
      <c r="G109" s="13"/>
    </row>
    <row r="110" spans="1:7" ht="16.5" customHeight="1">
      <c r="A110" s="13"/>
      <c r="B110" s="13"/>
      <c r="C110" s="13"/>
      <c r="D110" s="13"/>
      <c r="E110" s="13"/>
      <c r="F110" s="13"/>
      <c r="G110" s="13"/>
    </row>
    <row r="111" spans="1:7" ht="16.5" customHeight="1">
      <c r="A111" s="13"/>
      <c r="B111" s="13"/>
      <c r="C111" s="13"/>
      <c r="D111" s="13"/>
      <c r="E111" s="13"/>
      <c r="F111" s="13"/>
      <c r="G111" s="13"/>
    </row>
    <row r="112" spans="1:7" ht="16.5" customHeight="1">
      <c r="A112" s="13"/>
      <c r="B112" s="13"/>
      <c r="C112" s="13"/>
      <c r="D112" s="13"/>
      <c r="E112" s="13"/>
      <c r="F112" s="13"/>
      <c r="G112" s="13"/>
    </row>
    <row r="113" spans="1:7" ht="16.5" customHeight="1">
      <c r="A113" s="13"/>
      <c r="B113" s="13"/>
      <c r="C113" s="13"/>
      <c r="D113" s="13"/>
      <c r="E113" s="13"/>
      <c r="F113" s="13"/>
      <c r="G113" s="13"/>
    </row>
    <row r="114" spans="1:7" ht="16.5" customHeight="1">
      <c r="A114" s="13"/>
      <c r="B114" s="13"/>
      <c r="C114" s="13"/>
      <c r="D114" s="13"/>
      <c r="E114" s="13"/>
      <c r="F114" s="13"/>
      <c r="G114" s="13"/>
    </row>
    <row r="115" spans="1:7" ht="16.5" customHeight="1">
      <c r="A115" s="13"/>
      <c r="B115" s="13"/>
      <c r="C115" s="13"/>
      <c r="D115" s="13"/>
      <c r="E115" s="13"/>
      <c r="F115" s="13"/>
      <c r="G115" s="13"/>
    </row>
    <row r="116" spans="1:7" ht="16.5" customHeight="1">
      <c r="A116" s="13"/>
      <c r="B116" s="13"/>
      <c r="C116" s="13"/>
      <c r="D116" s="13"/>
      <c r="E116" s="13"/>
      <c r="F116" s="13"/>
      <c r="G116" s="13"/>
    </row>
    <row r="117" spans="1:7" ht="16.5" customHeight="1">
      <c r="A117" s="13"/>
      <c r="B117" s="13"/>
      <c r="C117" s="13"/>
      <c r="D117" s="13"/>
      <c r="E117" s="13"/>
      <c r="F117" s="13"/>
      <c r="G117" s="13"/>
    </row>
    <row r="118" spans="1:7" ht="16.5" customHeight="1">
      <c r="A118" s="13"/>
      <c r="B118" s="13"/>
      <c r="C118" s="13"/>
      <c r="D118" s="13"/>
      <c r="E118" s="13"/>
      <c r="F118" s="13"/>
      <c r="G118" s="13"/>
    </row>
    <row r="119" spans="1:7" ht="16.5" customHeight="1">
      <c r="A119" s="13"/>
      <c r="B119" s="13"/>
      <c r="C119" s="13"/>
      <c r="D119" s="13"/>
      <c r="E119" s="13"/>
      <c r="F119" s="13"/>
      <c r="G119" s="13"/>
    </row>
    <row r="120" spans="1:7" ht="16.5" customHeight="1">
      <c r="A120" s="13"/>
      <c r="B120" s="13"/>
      <c r="C120" s="13"/>
      <c r="D120" s="13"/>
      <c r="E120" s="13"/>
      <c r="F120" s="13"/>
      <c r="G120" s="13"/>
    </row>
    <row r="121" spans="1:7" ht="16.5" customHeight="1">
      <c r="A121" s="13"/>
      <c r="B121" s="13"/>
      <c r="C121" s="13"/>
      <c r="D121" s="13"/>
      <c r="E121" s="13"/>
      <c r="F121" s="13"/>
      <c r="G121" s="13"/>
    </row>
    <row r="122" spans="1:7" ht="16.5" customHeight="1">
      <c r="A122" s="13"/>
      <c r="B122" s="13"/>
      <c r="C122" s="13"/>
      <c r="D122" s="13"/>
      <c r="E122" s="13"/>
      <c r="F122" s="13"/>
      <c r="G122" s="13"/>
    </row>
    <row r="123" spans="1:7" ht="16.5" customHeight="1">
      <c r="A123" s="13"/>
      <c r="B123" s="13"/>
      <c r="C123" s="13"/>
      <c r="D123" s="13"/>
      <c r="E123" s="13"/>
      <c r="F123" s="13"/>
      <c r="G123" s="13"/>
    </row>
    <row r="124" spans="1:7" ht="16.5" customHeight="1">
      <c r="A124" s="13"/>
      <c r="B124" s="13"/>
      <c r="C124" s="13"/>
      <c r="D124" s="13"/>
      <c r="E124" s="13"/>
      <c r="F124" s="13"/>
      <c r="G124" s="13"/>
    </row>
    <row r="125" spans="1:7" ht="16.5" customHeight="1">
      <c r="A125" s="13"/>
      <c r="B125" s="13"/>
      <c r="C125" s="13"/>
      <c r="D125" s="13"/>
      <c r="E125" s="13"/>
      <c r="F125" s="13"/>
      <c r="G125" s="13"/>
    </row>
    <row r="126" spans="1:7" ht="16.5" customHeight="1">
      <c r="A126" s="13"/>
      <c r="B126" s="13"/>
      <c r="C126" s="13"/>
      <c r="D126" s="13"/>
      <c r="E126" s="13"/>
      <c r="F126" s="13"/>
      <c r="G126" s="13"/>
    </row>
    <row r="127" spans="1:7" ht="16.5" customHeight="1">
      <c r="A127" s="13"/>
      <c r="B127" s="13"/>
      <c r="C127" s="13"/>
      <c r="D127" s="13"/>
      <c r="E127" s="13"/>
      <c r="F127" s="13"/>
      <c r="G127" s="13"/>
    </row>
    <row r="128" spans="1:7" ht="16.5" customHeight="1">
      <c r="A128" s="13"/>
      <c r="B128" s="13"/>
      <c r="C128" s="13"/>
      <c r="D128" s="13"/>
      <c r="E128" s="13"/>
      <c r="F128" s="13"/>
      <c r="G128" s="13"/>
    </row>
    <row r="129" spans="1:7" ht="16.5" customHeight="1">
      <c r="A129" s="13"/>
      <c r="B129" s="13"/>
      <c r="C129" s="13"/>
      <c r="D129" s="13"/>
      <c r="E129" s="13"/>
      <c r="F129" s="13"/>
      <c r="G129" s="13"/>
    </row>
    <row r="130" spans="1:7" ht="16.5" customHeight="1">
      <c r="A130" s="13"/>
      <c r="B130" s="13"/>
      <c r="C130" s="13"/>
      <c r="D130" s="13"/>
      <c r="E130" s="13"/>
      <c r="F130" s="13"/>
      <c r="G130" s="13"/>
    </row>
    <row r="131" spans="1:7" ht="16.5" customHeight="1">
      <c r="A131" s="13"/>
      <c r="B131" s="13"/>
      <c r="C131" s="13"/>
      <c r="D131" s="13"/>
      <c r="E131" s="13"/>
      <c r="F131" s="13"/>
      <c r="G131" s="13"/>
    </row>
    <row r="132" spans="1:7" ht="16.5" customHeight="1">
      <c r="A132" s="13"/>
      <c r="B132" s="13"/>
      <c r="C132" s="13"/>
      <c r="D132" s="13"/>
      <c r="E132" s="13"/>
      <c r="F132" s="13"/>
      <c r="G132" s="13"/>
    </row>
    <row r="133" spans="1:7" ht="16.5" customHeight="1">
      <c r="A133" s="13"/>
      <c r="B133" s="13"/>
      <c r="C133" s="13"/>
      <c r="D133" s="13"/>
      <c r="E133" s="13"/>
      <c r="F133" s="13"/>
      <c r="G133" s="13"/>
    </row>
    <row r="134" spans="1:7" ht="16.5" customHeight="1">
      <c r="A134" s="13"/>
      <c r="B134" s="13"/>
      <c r="C134" s="13"/>
      <c r="D134" s="13"/>
      <c r="E134" s="13"/>
      <c r="F134" s="13"/>
      <c r="G134" s="13"/>
    </row>
    <row r="135" spans="1:7" ht="16.5" customHeight="1">
      <c r="A135" s="13"/>
      <c r="B135" s="13"/>
      <c r="C135" s="13"/>
      <c r="D135" s="13"/>
      <c r="E135" s="13"/>
      <c r="F135" s="13"/>
      <c r="G135" s="13"/>
    </row>
    <row r="136" spans="1:7" ht="16.5" customHeight="1">
      <c r="A136" s="13"/>
      <c r="B136" s="13"/>
      <c r="C136" s="13"/>
      <c r="D136" s="13"/>
      <c r="E136" s="13"/>
      <c r="F136" s="13"/>
      <c r="G136" s="13"/>
    </row>
    <row r="137" spans="1:7" ht="16.5" customHeight="1">
      <c r="A137" s="13"/>
      <c r="B137" s="13"/>
      <c r="C137" s="13"/>
      <c r="D137" s="13"/>
      <c r="E137" s="13"/>
      <c r="F137" s="13"/>
      <c r="G137" s="13"/>
    </row>
    <row r="138" spans="1:7" ht="16.5" customHeight="1">
      <c r="A138" s="13"/>
      <c r="B138" s="13"/>
      <c r="C138" s="13"/>
      <c r="D138" s="13"/>
      <c r="E138" s="13"/>
      <c r="F138" s="13"/>
      <c r="G138" s="13"/>
    </row>
    <row r="139" spans="1:7" ht="16.5" customHeight="1">
      <c r="A139" s="13"/>
      <c r="B139" s="13"/>
      <c r="C139" s="13"/>
      <c r="D139" s="13"/>
      <c r="E139" s="13"/>
      <c r="F139" s="13"/>
      <c r="G139" s="13"/>
    </row>
    <row r="140" spans="1:7" ht="16.5" customHeight="1">
      <c r="A140" s="13"/>
      <c r="B140" s="13"/>
      <c r="C140" s="13"/>
      <c r="D140" s="13"/>
      <c r="E140" s="13"/>
      <c r="F140" s="13"/>
      <c r="G140" s="13"/>
    </row>
    <row r="141" spans="1:7" ht="16.5" customHeight="1">
      <c r="A141" s="13"/>
      <c r="B141" s="13"/>
      <c r="C141" s="13"/>
      <c r="D141" s="13"/>
      <c r="E141" s="13"/>
      <c r="F141" s="13"/>
      <c r="G141" s="13"/>
    </row>
    <row r="142" spans="1:7" ht="16.5" customHeight="1">
      <c r="A142" s="13"/>
      <c r="B142" s="13"/>
      <c r="C142" s="13"/>
      <c r="D142" s="13"/>
      <c r="E142" s="13"/>
      <c r="F142" s="13"/>
      <c r="G142" s="13"/>
    </row>
    <row r="143" spans="1:7" ht="16.5" customHeight="1">
      <c r="A143" s="13"/>
      <c r="B143" s="13"/>
      <c r="C143" s="13"/>
      <c r="D143" s="13"/>
      <c r="E143" s="13"/>
      <c r="F143" s="13"/>
      <c r="G143" s="13"/>
    </row>
    <row r="144" spans="1:7" ht="16.5" customHeight="1">
      <c r="A144" s="13"/>
      <c r="B144" s="13"/>
      <c r="C144" s="13"/>
      <c r="D144" s="13"/>
      <c r="E144" s="13"/>
      <c r="F144" s="13"/>
      <c r="G144" s="13"/>
    </row>
    <row r="145" spans="1:7" ht="16.5" customHeight="1">
      <c r="A145" s="13"/>
      <c r="B145" s="13"/>
      <c r="C145" s="13"/>
      <c r="D145" s="13"/>
      <c r="E145" s="13"/>
      <c r="F145" s="13"/>
      <c r="G145" s="13"/>
    </row>
    <row r="146" spans="1:7" ht="16.5" customHeight="1">
      <c r="A146" s="13"/>
      <c r="B146" s="13"/>
      <c r="C146" s="13"/>
      <c r="D146" s="13"/>
      <c r="E146" s="13"/>
      <c r="F146" s="13"/>
      <c r="G146" s="13"/>
    </row>
    <row r="147" spans="1:7" ht="16.5" customHeight="1">
      <c r="A147" s="13"/>
      <c r="B147" s="13"/>
      <c r="C147" s="13"/>
      <c r="D147" s="13"/>
      <c r="E147" s="13"/>
      <c r="F147" s="13"/>
      <c r="G147" s="13"/>
    </row>
    <row r="148" spans="1:7" ht="16.5" customHeight="1">
      <c r="A148" s="13"/>
      <c r="B148" s="13"/>
      <c r="C148" s="13"/>
      <c r="D148" s="13"/>
      <c r="E148" s="13"/>
      <c r="F148" s="13"/>
      <c r="G148" s="13"/>
    </row>
    <row r="149" spans="1:7" ht="16.5" customHeight="1">
      <c r="A149" s="13"/>
      <c r="B149" s="13"/>
      <c r="C149" s="13"/>
      <c r="D149" s="13"/>
      <c r="E149" s="13"/>
      <c r="F149" s="13"/>
      <c r="G149" s="13"/>
    </row>
    <row r="150" spans="1:7" ht="16.5" customHeight="1">
      <c r="A150" s="13"/>
      <c r="B150" s="13"/>
      <c r="C150" s="13"/>
      <c r="D150" s="13"/>
      <c r="E150" s="13"/>
      <c r="F150" s="13"/>
      <c r="G150" s="13"/>
    </row>
    <row r="151" spans="1:7" ht="16.5" customHeight="1">
      <c r="A151" s="13"/>
      <c r="B151" s="13"/>
      <c r="C151" s="13"/>
      <c r="D151" s="13"/>
      <c r="E151" s="13"/>
      <c r="F151" s="13"/>
      <c r="G151" s="13"/>
    </row>
    <row r="152" spans="1:7" ht="16.5" customHeight="1">
      <c r="A152" s="13"/>
      <c r="B152" s="13"/>
      <c r="C152" s="13"/>
      <c r="D152" s="13"/>
      <c r="E152" s="13"/>
      <c r="F152" s="13"/>
      <c r="G152" s="13"/>
    </row>
    <row r="153" spans="1:7" ht="16.5" customHeight="1">
      <c r="A153" s="13"/>
      <c r="B153" s="13"/>
      <c r="C153" s="13"/>
      <c r="D153" s="13"/>
      <c r="E153" s="13"/>
      <c r="F153" s="13"/>
      <c r="G153" s="13"/>
    </row>
    <row r="154" spans="1:7" ht="16.5" customHeight="1">
      <c r="A154" s="13"/>
      <c r="B154" s="13"/>
      <c r="C154" s="13"/>
      <c r="D154" s="13"/>
      <c r="E154" s="13"/>
      <c r="F154" s="13"/>
      <c r="G154" s="13"/>
    </row>
    <row r="155" spans="1:7" ht="16.5" customHeight="1">
      <c r="A155" s="13"/>
      <c r="B155" s="13"/>
      <c r="C155" s="13"/>
      <c r="D155" s="13"/>
      <c r="E155" s="13"/>
      <c r="F155" s="13"/>
      <c r="G155" s="13"/>
    </row>
    <row r="156" spans="1:7" ht="16.5" customHeight="1">
      <c r="A156" s="13"/>
      <c r="B156" s="13"/>
      <c r="C156" s="13"/>
      <c r="D156" s="13"/>
      <c r="E156" s="13"/>
      <c r="F156" s="13"/>
      <c r="G156" s="13"/>
    </row>
    <row r="157" spans="1:7" ht="16.5" customHeight="1">
      <c r="A157" s="13"/>
      <c r="B157" s="13"/>
      <c r="C157" s="13"/>
      <c r="D157" s="13"/>
      <c r="E157" s="13"/>
      <c r="F157" s="13"/>
      <c r="G157" s="13"/>
    </row>
    <row r="158" spans="1:7" ht="16.5" customHeight="1">
      <c r="A158" s="13"/>
      <c r="B158" s="13"/>
      <c r="C158" s="13"/>
      <c r="D158" s="13"/>
      <c r="E158" s="13"/>
      <c r="F158" s="13"/>
      <c r="G158" s="13"/>
    </row>
    <row r="159" spans="1:7" ht="16.5" customHeight="1">
      <c r="A159" s="13"/>
      <c r="B159" s="13"/>
      <c r="C159" s="13"/>
      <c r="D159" s="13"/>
      <c r="E159" s="13"/>
      <c r="F159" s="13"/>
      <c r="G159" s="13"/>
    </row>
    <row r="160" spans="1:7" ht="16.5" customHeight="1">
      <c r="A160" s="13"/>
      <c r="B160" s="13"/>
      <c r="C160" s="13"/>
      <c r="D160" s="13"/>
      <c r="E160" s="13"/>
      <c r="F160" s="13"/>
      <c r="G160" s="13"/>
    </row>
    <row r="161" spans="1:7" ht="16.5" customHeight="1">
      <c r="A161" s="13"/>
      <c r="B161" s="13"/>
      <c r="C161" s="13"/>
      <c r="D161" s="13"/>
      <c r="E161" s="13"/>
      <c r="F161" s="13"/>
      <c r="G161" s="13"/>
    </row>
    <row r="162" spans="1:7" ht="16.5" customHeight="1">
      <c r="A162" s="13"/>
      <c r="B162" s="13"/>
      <c r="C162" s="13"/>
      <c r="D162" s="13"/>
      <c r="E162" s="13"/>
      <c r="F162" s="13"/>
      <c r="G162" s="13"/>
    </row>
    <row r="163" spans="1:7" ht="16.5" customHeight="1">
      <c r="A163" s="13"/>
      <c r="B163" s="13"/>
      <c r="C163" s="13"/>
      <c r="D163" s="13"/>
      <c r="E163" s="13"/>
      <c r="F163" s="13"/>
      <c r="G163" s="13"/>
    </row>
    <row r="164" spans="1:7" ht="16.5" customHeight="1">
      <c r="A164" s="13"/>
      <c r="B164" s="13"/>
      <c r="C164" s="13"/>
      <c r="D164" s="13"/>
      <c r="E164" s="13"/>
      <c r="F164" s="13"/>
      <c r="G164" s="13"/>
    </row>
    <row r="165" spans="1:7" ht="16.5" customHeight="1">
      <c r="A165" s="13"/>
      <c r="B165" s="13"/>
      <c r="C165" s="13"/>
      <c r="D165" s="13"/>
      <c r="E165" s="13"/>
      <c r="F165" s="13"/>
      <c r="G165" s="13"/>
    </row>
    <row r="166" spans="1:7" ht="16.5" customHeight="1">
      <c r="A166" s="13"/>
      <c r="B166" s="13"/>
      <c r="C166" s="13"/>
      <c r="D166" s="13"/>
      <c r="E166" s="13"/>
      <c r="F166" s="13"/>
      <c r="G166" s="13"/>
    </row>
    <row r="167" spans="1:7" ht="16.5" customHeight="1">
      <c r="A167" s="13"/>
      <c r="B167" s="13"/>
      <c r="C167" s="13"/>
      <c r="D167" s="13"/>
      <c r="E167" s="13"/>
      <c r="F167" s="13"/>
      <c r="G167" s="13"/>
    </row>
    <row r="168" spans="1:7" ht="16.5" customHeight="1">
      <c r="A168" s="13"/>
      <c r="B168" s="13"/>
      <c r="C168" s="13"/>
      <c r="D168" s="13"/>
      <c r="E168" s="13"/>
      <c r="F168" s="13"/>
      <c r="G168" s="13"/>
    </row>
    <row r="169" spans="1:7" ht="16.5" customHeight="1">
      <c r="A169" s="13"/>
      <c r="B169" s="13"/>
      <c r="C169" s="13"/>
      <c r="D169" s="13"/>
      <c r="E169" s="13"/>
      <c r="F169" s="13"/>
      <c r="G169" s="13"/>
    </row>
    <row r="170" spans="1:7" ht="16.5" customHeight="1">
      <c r="A170" s="13"/>
      <c r="B170" s="13"/>
      <c r="C170" s="13"/>
      <c r="D170" s="13"/>
      <c r="E170" s="13"/>
      <c r="F170" s="13"/>
      <c r="G170" s="13"/>
    </row>
    <row r="171" spans="1:7" ht="16.5" customHeight="1">
      <c r="A171" s="13"/>
      <c r="B171" s="13"/>
      <c r="C171" s="13"/>
      <c r="D171" s="13"/>
      <c r="E171" s="13"/>
      <c r="F171" s="13"/>
      <c r="G171" s="13"/>
    </row>
    <row r="172" spans="1:7" ht="16.5" customHeight="1">
      <c r="A172" s="13"/>
      <c r="B172" s="13"/>
      <c r="C172" s="13"/>
      <c r="D172" s="13"/>
      <c r="E172" s="13"/>
      <c r="F172" s="13"/>
      <c r="G172" s="13"/>
    </row>
    <row r="173" spans="1:7" ht="16.5" customHeight="1">
      <c r="A173" s="13"/>
      <c r="B173" s="13"/>
      <c r="C173" s="13"/>
      <c r="D173" s="13"/>
      <c r="E173" s="13"/>
      <c r="F173" s="13"/>
      <c r="G173" s="13"/>
    </row>
    <row r="174" spans="1:7" ht="16.5" customHeight="1">
      <c r="A174" s="13"/>
      <c r="B174" s="13"/>
      <c r="C174" s="13"/>
      <c r="D174" s="13"/>
      <c r="E174" s="13"/>
      <c r="F174" s="13"/>
      <c r="G174" s="13"/>
    </row>
    <row r="175" spans="1:7" ht="16.5" customHeight="1">
      <c r="A175" s="13"/>
      <c r="B175" s="13"/>
      <c r="C175" s="13"/>
      <c r="D175" s="13"/>
      <c r="E175" s="13"/>
      <c r="F175" s="13"/>
      <c r="G175" s="13"/>
    </row>
    <row r="176" spans="1:7" ht="16.5" customHeight="1">
      <c r="A176" s="13"/>
      <c r="B176" s="13"/>
      <c r="C176" s="13"/>
      <c r="D176" s="13"/>
      <c r="E176" s="13"/>
      <c r="F176" s="13"/>
      <c r="G176" s="13"/>
    </row>
    <row r="177" spans="1:7" ht="16.5" customHeight="1">
      <c r="A177" s="13"/>
      <c r="B177" s="13"/>
      <c r="C177" s="13"/>
      <c r="D177" s="13"/>
      <c r="E177" s="13"/>
      <c r="F177" s="13"/>
      <c r="G177" s="13"/>
    </row>
    <row r="178" spans="1:7" ht="16.5" customHeight="1">
      <c r="A178" s="13"/>
      <c r="B178" s="13"/>
      <c r="C178" s="13"/>
      <c r="D178" s="13"/>
      <c r="E178" s="13"/>
      <c r="F178" s="13"/>
      <c r="G178" s="13"/>
    </row>
    <row r="179" spans="1:7" ht="16.5" customHeight="1">
      <c r="A179" s="13"/>
      <c r="B179" s="13"/>
      <c r="C179" s="13"/>
      <c r="D179" s="13"/>
      <c r="E179" s="13"/>
      <c r="F179" s="13"/>
      <c r="G179" s="13"/>
    </row>
    <row r="180" spans="1:7" ht="16.5" customHeight="1">
      <c r="A180" s="13"/>
      <c r="B180" s="13"/>
      <c r="C180" s="13"/>
      <c r="D180" s="13"/>
      <c r="E180" s="13"/>
      <c r="F180" s="13"/>
      <c r="G180" s="13"/>
    </row>
    <row r="181" spans="1:7" ht="16.5" customHeight="1">
      <c r="A181" s="13"/>
      <c r="B181" s="13"/>
      <c r="C181" s="13"/>
      <c r="D181" s="13"/>
      <c r="E181" s="13"/>
      <c r="F181" s="13"/>
      <c r="G181" s="13"/>
    </row>
    <row r="182" spans="1:7" ht="16.5" customHeight="1">
      <c r="A182" s="13"/>
      <c r="B182" s="13"/>
      <c r="C182" s="13"/>
      <c r="D182" s="13"/>
      <c r="E182" s="13"/>
      <c r="F182" s="13"/>
      <c r="G182" s="13"/>
    </row>
    <row r="183" spans="1:7" ht="16.5" customHeight="1">
      <c r="A183" s="13"/>
      <c r="B183" s="13"/>
      <c r="C183" s="13"/>
      <c r="D183" s="13"/>
      <c r="E183" s="13"/>
      <c r="F183" s="13"/>
      <c r="G183" s="13"/>
    </row>
    <row r="184" spans="1:7" ht="16.5" customHeight="1">
      <c r="A184" s="13"/>
      <c r="B184" s="13"/>
      <c r="C184" s="13"/>
      <c r="D184" s="13"/>
      <c r="E184" s="13"/>
      <c r="F184" s="13"/>
      <c r="G184" s="13"/>
    </row>
    <row r="185" spans="1:7" ht="16.5" customHeight="1">
      <c r="A185" s="13"/>
      <c r="B185" s="13"/>
      <c r="C185" s="13"/>
      <c r="D185" s="13"/>
      <c r="E185" s="13"/>
      <c r="F185" s="13"/>
      <c r="G185" s="13"/>
    </row>
    <row r="186" spans="1:7" ht="16.5" customHeight="1">
      <c r="A186" s="13"/>
      <c r="B186" s="13"/>
      <c r="C186" s="13"/>
      <c r="D186" s="13"/>
      <c r="E186" s="13"/>
      <c r="F186" s="13"/>
      <c r="G186" s="13"/>
    </row>
    <row r="187" spans="1:7" ht="16.5" customHeight="1">
      <c r="A187" s="13"/>
      <c r="B187" s="13"/>
      <c r="C187" s="13"/>
      <c r="D187" s="13"/>
      <c r="E187" s="13"/>
      <c r="F187" s="13"/>
      <c r="G187" s="13"/>
    </row>
    <row r="188" spans="1:7" ht="16.5" customHeight="1">
      <c r="A188" s="13"/>
      <c r="B188" s="13"/>
      <c r="C188" s="13"/>
      <c r="D188" s="13"/>
      <c r="E188" s="13"/>
      <c r="F188" s="13"/>
      <c r="G188" s="13"/>
    </row>
    <row r="189" spans="1:7" ht="16.5" customHeight="1">
      <c r="A189" s="13"/>
      <c r="B189" s="13"/>
      <c r="C189" s="13"/>
      <c r="D189" s="13"/>
      <c r="E189" s="13"/>
      <c r="F189" s="13"/>
      <c r="G189" s="13"/>
    </row>
    <row r="190" spans="1:7" ht="16.5" customHeight="1">
      <c r="A190" s="13"/>
      <c r="B190" s="13"/>
      <c r="C190" s="13"/>
      <c r="D190" s="13"/>
      <c r="E190" s="13"/>
      <c r="F190" s="13"/>
      <c r="G190" s="13"/>
    </row>
    <row r="191" spans="1:7" ht="16.5" customHeight="1">
      <c r="A191" s="13"/>
      <c r="B191" s="13"/>
      <c r="C191" s="13"/>
      <c r="D191" s="13"/>
      <c r="E191" s="13"/>
      <c r="F191" s="13"/>
      <c r="G191" s="13"/>
    </row>
    <row r="192" spans="1:7" ht="16.5" customHeight="1">
      <c r="A192" s="13"/>
      <c r="B192" s="13"/>
      <c r="C192" s="13"/>
      <c r="D192" s="13"/>
      <c r="E192" s="13"/>
      <c r="F192" s="13"/>
      <c r="G192" s="13"/>
    </row>
    <row r="193" spans="1:7" ht="16.5" customHeight="1">
      <c r="A193" s="13"/>
      <c r="B193" s="13"/>
      <c r="C193" s="13"/>
      <c r="D193" s="13"/>
      <c r="E193" s="13"/>
      <c r="F193" s="13"/>
      <c r="G193" s="13"/>
    </row>
    <row r="194" spans="1:7" ht="16.5" customHeight="1">
      <c r="A194" s="13"/>
      <c r="B194" s="13"/>
      <c r="C194" s="13"/>
      <c r="D194" s="13"/>
      <c r="E194" s="13"/>
      <c r="F194" s="13"/>
      <c r="G194" s="13"/>
    </row>
    <row r="195" spans="1:7" ht="16.5" customHeight="1">
      <c r="A195" s="13"/>
      <c r="B195" s="13"/>
      <c r="C195" s="13"/>
      <c r="D195" s="13"/>
      <c r="E195" s="13"/>
      <c r="F195" s="13"/>
      <c r="G195" s="13"/>
    </row>
    <row r="196" spans="1:7" ht="16.5" customHeight="1">
      <c r="A196" s="13"/>
      <c r="B196" s="13"/>
      <c r="C196" s="13"/>
      <c r="D196" s="13"/>
      <c r="E196" s="13"/>
      <c r="F196" s="13"/>
      <c r="G196" s="13"/>
    </row>
    <row r="197" spans="1:7" ht="16.5" customHeight="1">
      <c r="A197" s="13"/>
      <c r="B197" s="13"/>
      <c r="C197" s="13"/>
      <c r="D197" s="13"/>
      <c r="E197" s="13"/>
      <c r="F197" s="13"/>
      <c r="G197" s="13"/>
    </row>
    <row r="198" spans="1:7" ht="16.5" customHeight="1">
      <c r="A198" s="13"/>
      <c r="B198" s="13"/>
      <c r="C198" s="13"/>
      <c r="D198" s="13"/>
      <c r="E198" s="13"/>
      <c r="F198" s="13"/>
      <c r="G198" s="13"/>
    </row>
    <row r="199" spans="1:7" ht="16.5" customHeight="1">
      <c r="A199" s="13"/>
      <c r="B199" s="13"/>
      <c r="C199" s="13"/>
      <c r="D199" s="13"/>
      <c r="E199" s="13"/>
      <c r="F199" s="13"/>
      <c r="G199" s="13"/>
    </row>
    <row r="200" spans="1:7" ht="16.5" customHeight="1">
      <c r="A200" s="13"/>
      <c r="B200" s="13"/>
      <c r="C200" s="13"/>
      <c r="D200" s="13"/>
      <c r="E200" s="13"/>
      <c r="F200" s="13"/>
      <c r="G200" s="13"/>
    </row>
    <row r="201" spans="1:7" ht="16.5" customHeight="1">
      <c r="A201" s="13"/>
      <c r="B201" s="13"/>
      <c r="C201" s="13"/>
      <c r="D201" s="13"/>
      <c r="E201" s="13"/>
      <c r="F201" s="13"/>
      <c r="G201" s="13"/>
    </row>
    <row r="202" spans="1:7" ht="16.5" customHeight="1">
      <c r="A202" s="13"/>
      <c r="B202" s="13"/>
      <c r="C202" s="13"/>
      <c r="D202" s="13"/>
      <c r="E202" s="13"/>
      <c r="F202" s="13"/>
      <c r="G202" s="13"/>
    </row>
    <row r="203" spans="1:7" ht="16.5" customHeight="1">
      <c r="A203" s="13"/>
      <c r="B203" s="13"/>
      <c r="C203" s="13"/>
      <c r="D203" s="13"/>
      <c r="E203" s="13"/>
      <c r="F203" s="13"/>
      <c r="G203" s="13"/>
    </row>
    <row r="204" spans="1:7" ht="16.5" customHeight="1">
      <c r="A204" s="13"/>
      <c r="B204" s="13"/>
      <c r="C204" s="13"/>
      <c r="D204" s="13"/>
      <c r="E204" s="13"/>
      <c r="F204" s="13"/>
      <c r="G204" s="13"/>
    </row>
    <row r="205" spans="1:7" ht="16.5" customHeight="1">
      <c r="A205" s="13"/>
      <c r="B205" s="13"/>
      <c r="C205" s="13"/>
      <c r="D205" s="13"/>
      <c r="E205" s="13"/>
      <c r="F205" s="13"/>
      <c r="G205" s="13"/>
    </row>
    <row r="206" spans="1:7" ht="16.5" customHeight="1">
      <c r="A206" s="13"/>
      <c r="B206" s="13"/>
      <c r="C206" s="13"/>
      <c r="D206" s="13"/>
      <c r="E206" s="13"/>
      <c r="F206" s="13"/>
      <c r="G206" s="13"/>
    </row>
    <row r="207" spans="1:7" ht="16.5" customHeight="1">
      <c r="A207" s="13"/>
      <c r="B207" s="13"/>
      <c r="C207" s="13"/>
      <c r="D207" s="13"/>
      <c r="E207" s="13"/>
      <c r="F207" s="13"/>
      <c r="G207" s="13"/>
    </row>
    <row r="208" spans="1:7" ht="16.5" customHeight="1">
      <c r="A208" s="13"/>
      <c r="B208" s="13"/>
      <c r="C208" s="13"/>
      <c r="D208" s="13"/>
      <c r="E208" s="13"/>
      <c r="F208" s="13"/>
      <c r="G208" s="13"/>
    </row>
    <row r="209" spans="1:7" ht="16.5" customHeight="1">
      <c r="A209" s="13"/>
      <c r="B209" s="13"/>
      <c r="C209" s="13"/>
      <c r="D209" s="13"/>
      <c r="E209" s="13"/>
      <c r="F209" s="13"/>
      <c r="G209" s="13"/>
    </row>
    <row r="210" spans="1:7" ht="16.5" customHeight="1">
      <c r="A210" s="13"/>
      <c r="B210" s="13"/>
      <c r="C210" s="13"/>
      <c r="D210" s="13"/>
      <c r="E210" s="13"/>
      <c r="F210" s="13"/>
      <c r="G210" s="13"/>
    </row>
    <row r="211" spans="1:7" ht="16.5" customHeight="1">
      <c r="A211" s="13"/>
      <c r="B211" s="13"/>
      <c r="C211" s="13"/>
      <c r="D211" s="13"/>
      <c r="E211" s="13"/>
      <c r="F211" s="13"/>
      <c r="G211" s="13"/>
    </row>
    <row r="212" spans="1:7" ht="16.5" customHeight="1">
      <c r="A212" s="13"/>
      <c r="B212" s="13"/>
      <c r="C212" s="13"/>
      <c r="D212" s="13"/>
      <c r="E212" s="13"/>
      <c r="F212" s="13"/>
      <c r="G212" s="13"/>
    </row>
    <row r="213" spans="1:7" ht="16.5" customHeight="1">
      <c r="A213" s="13"/>
      <c r="B213" s="13"/>
      <c r="C213" s="13"/>
      <c r="D213" s="13"/>
      <c r="E213" s="13"/>
      <c r="F213" s="13"/>
      <c r="G213" s="13"/>
    </row>
    <row r="214" spans="1:7" ht="16.5" customHeight="1">
      <c r="A214" s="13"/>
      <c r="B214" s="13"/>
      <c r="C214" s="13"/>
      <c r="D214" s="13"/>
      <c r="E214" s="13"/>
      <c r="F214" s="13"/>
      <c r="G214" s="13"/>
    </row>
    <row r="215" spans="1:7" ht="16.5" customHeight="1">
      <c r="A215" s="13"/>
      <c r="B215" s="13"/>
      <c r="C215" s="13"/>
      <c r="D215" s="13"/>
      <c r="E215" s="13"/>
      <c r="F215" s="13"/>
      <c r="G215" s="13"/>
    </row>
    <row r="216" spans="1:7" ht="16.5" customHeight="1">
      <c r="A216" s="13"/>
      <c r="B216" s="13"/>
      <c r="C216" s="13"/>
      <c r="D216" s="13"/>
      <c r="E216" s="13"/>
      <c r="F216" s="13"/>
      <c r="G216" s="13"/>
    </row>
    <row r="217" spans="1:7" ht="16.5" customHeight="1">
      <c r="A217" s="13"/>
      <c r="B217" s="13"/>
      <c r="C217" s="13"/>
      <c r="D217" s="13"/>
      <c r="E217" s="13"/>
      <c r="F217" s="13"/>
      <c r="G217" s="13"/>
    </row>
    <row r="218" spans="1:7" ht="16.5" customHeight="1">
      <c r="A218" s="13"/>
      <c r="B218" s="13"/>
      <c r="C218" s="13"/>
      <c r="D218" s="13"/>
      <c r="E218" s="13"/>
      <c r="F218" s="13"/>
      <c r="G218" s="13"/>
    </row>
    <row r="219" spans="1:7" ht="16.5" customHeight="1">
      <c r="A219" s="13"/>
      <c r="B219" s="13"/>
      <c r="C219" s="13"/>
      <c r="D219" s="13"/>
      <c r="E219" s="13"/>
      <c r="F219" s="13"/>
      <c r="G219" s="13"/>
    </row>
    <row r="220" spans="1:7" ht="16.5" customHeight="1">
      <c r="A220" s="13"/>
      <c r="B220" s="13"/>
      <c r="C220" s="13"/>
      <c r="D220" s="13"/>
      <c r="E220" s="13"/>
      <c r="F220" s="13"/>
      <c r="G220" s="13"/>
    </row>
    <row r="221" spans="1:7" ht="16.5" customHeight="1">
      <c r="A221" s="13"/>
      <c r="B221" s="13"/>
      <c r="C221" s="13"/>
      <c r="D221" s="13"/>
      <c r="E221" s="13"/>
      <c r="F221" s="13"/>
      <c r="G221" s="13"/>
    </row>
    <row r="222" spans="1:7" ht="16.5" customHeight="1">
      <c r="A222" s="13"/>
      <c r="B222" s="13"/>
      <c r="C222" s="13"/>
      <c r="D222" s="13"/>
      <c r="E222" s="13"/>
      <c r="F222" s="13"/>
      <c r="G222" s="13"/>
    </row>
    <row r="223" spans="1:7" ht="16.5" customHeight="1">
      <c r="A223" s="13"/>
      <c r="B223" s="13"/>
      <c r="C223" s="13"/>
      <c r="D223" s="13"/>
      <c r="E223" s="13"/>
      <c r="F223" s="13"/>
      <c r="G223" s="13"/>
    </row>
    <row r="224" spans="1:7" ht="16.5" customHeight="1">
      <c r="A224" s="13"/>
      <c r="B224" s="13"/>
      <c r="C224" s="13"/>
      <c r="D224" s="13"/>
      <c r="E224" s="13"/>
      <c r="F224" s="13"/>
      <c r="G224" s="13"/>
    </row>
    <row r="225" spans="1:7" ht="16.5" customHeight="1">
      <c r="A225" s="13"/>
      <c r="B225" s="13"/>
      <c r="C225" s="13"/>
      <c r="D225" s="13"/>
      <c r="E225" s="13"/>
      <c r="F225" s="13"/>
      <c r="G225" s="13"/>
    </row>
    <row r="226" spans="1:7" ht="16.5" customHeight="1">
      <c r="A226" s="13"/>
      <c r="B226" s="13"/>
      <c r="C226" s="13"/>
      <c r="D226" s="13"/>
      <c r="E226" s="13"/>
      <c r="F226" s="13"/>
      <c r="G226" s="13"/>
    </row>
    <row r="227" spans="1:7" ht="16.5" customHeight="1">
      <c r="A227" s="13"/>
      <c r="B227" s="13"/>
      <c r="C227" s="13"/>
      <c r="D227" s="13"/>
      <c r="E227" s="13"/>
      <c r="F227" s="13"/>
      <c r="G227" s="13"/>
    </row>
    <row r="228" spans="1:7" ht="16.5" customHeight="1">
      <c r="A228" s="13"/>
      <c r="B228" s="13"/>
      <c r="C228" s="13"/>
      <c r="D228" s="13"/>
      <c r="E228" s="13"/>
      <c r="F228" s="13"/>
      <c r="G228" s="13"/>
    </row>
    <row r="229" spans="1:7" ht="16.5" customHeight="1">
      <c r="A229" s="13"/>
      <c r="B229" s="13"/>
      <c r="C229" s="13"/>
      <c r="D229" s="13"/>
      <c r="E229" s="13"/>
      <c r="F229" s="13"/>
      <c r="G229" s="13"/>
    </row>
    <row r="230" spans="1:7" ht="16.5" customHeight="1">
      <c r="A230" s="13"/>
      <c r="B230" s="13"/>
      <c r="C230" s="13"/>
      <c r="D230" s="13"/>
      <c r="E230" s="13"/>
      <c r="F230" s="13"/>
      <c r="G230" s="13"/>
    </row>
    <row r="231" spans="1:7" ht="16.5" customHeight="1">
      <c r="A231" s="13"/>
      <c r="B231" s="13"/>
      <c r="C231" s="13"/>
      <c r="D231" s="13"/>
      <c r="E231" s="13"/>
      <c r="F231" s="13"/>
      <c r="G231" s="13"/>
    </row>
    <row r="232" spans="1:7" ht="16.5" customHeight="1">
      <c r="A232" s="13"/>
      <c r="B232" s="13"/>
      <c r="C232" s="13"/>
      <c r="D232" s="13"/>
      <c r="E232" s="13"/>
      <c r="F232" s="13"/>
      <c r="G232" s="13"/>
    </row>
    <row r="233" spans="1:7" ht="16.5" customHeight="1">
      <c r="A233" s="13"/>
      <c r="B233" s="13"/>
      <c r="C233" s="13"/>
      <c r="D233" s="13"/>
      <c r="E233" s="13"/>
      <c r="F233" s="13"/>
      <c r="G233" s="13"/>
    </row>
    <row r="234" spans="1:7" ht="16.5" customHeight="1">
      <c r="A234" s="13"/>
      <c r="B234" s="13"/>
      <c r="C234" s="13"/>
      <c r="D234" s="13"/>
      <c r="E234" s="13"/>
      <c r="F234" s="13"/>
      <c r="G234" s="13"/>
    </row>
    <row r="235" spans="1:7" ht="16.5" customHeight="1">
      <c r="A235" s="13"/>
      <c r="B235" s="13"/>
      <c r="C235" s="13"/>
      <c r="D235" s="13"/>
      <c r="E235" s="13"/>
      <c r="F235" s="13"/>
      <c r="G235" s="13"/>
    </row>
    <row r="236" spans="1:7" ht="16.5" customHeight="1">
      <c r="A236" s="13"/>
      <c r="B236" s="13"/>
      <c r="C236" s="13"/>
      <c r="D236" s="13"/>
      <c r="E236" s="13"/>
      <c r="F236" s="13"/>
      <c r="G236" s="13"/>
    </row>
    <row r="237" spans="1:7" ht="16.5" customHeight="1">
      <c r="A237" s="13"/>
      <c r="B237" s="13"/>
      <c r="C237" s="13"/>
      <c r="D237" s="13"/>
      <c r="E237" s="13"/>
      <c r="F237" s="13"/>
      <c r="G237" s="13"/>
    </row>
    <row r="238" spans="1:7" ht="16.5" customHeight="1">
      <c r="A238" s="13"/>
      <c r="B238" s="13"/>
      <c r="C238" s="13"/>
      <c r="D238" s="13"/>
      <c r="E238" s="13"/>
      <c r="F238" s="13"/>
      <c r="G238" s="13"/>
    </row>
    <row r="239" spans="1:7" ht="16.5" customHeight="1">
      <c r="A239" s="13"/>
      <c r="B239" s="13"/>
      <c r="C239" s="13"/>
      <c r="D239" s="13"/>
      <c r="E239" s="13"/>
      <c r="F239" s="13"/>
      <c r="G239" s="13"/>
    </row>
    <row r="240" spans="1:7" ht="16.5" customHeight="1">
      <c r="A240" s="13"/>
      <c r="B240" s="13"/>
      <c r="C240" s="13"/>
      <c r="D240" s="13"/>
      <c r="E240" s="13"/>
      <c r="F240" s="13"/>
      <c r="G240" s="13"/>
    </row>
    <row r="241" spans="1:7" ht="16.5" customHeight="1">
      <c r="A241" s="13"/>
      <c r="B241" s="13"/>
      <c r="C241" s="13"/>
      <c r="D241" s="13"/>
      <c r="E241" s="13"/>
      <c r="F241" s="13"/>
      <c r="G241" s="13"/>
    </row>
    <row r="242" spans="1:7" ht="16.5" customHeight="1">
      <c r="A242" s="13"/>
      <c r="B242" s="13"/>
      <c r="C242" s="13"/>
      <c r="D242" s="13"/>
      <c r="E242" s="13"/>
      <c r="F242" s="13"/>
      <c r="G242" s="13"/>
    </row>
    <row r="243" spans="1:7" ht="16.5" customHeight="1">
      <c r="A243" s="13"/>
      <c r="B243" s="13"/>
      <c r="C243" s="13"/>
      <c r="D243" s="13"/>
      <c r="E243" s="13"/>
      <c r="F243" s="13"/>
      <c r="G243" s="13"/>
    </row>
    <row r="244" spans="1:7" ht="16.5" customHeight="1">
      <c r="A244" s="13"/>
      <c r="B244" s="13"/>
      <c r="C244" s="13"/>
      <c r="D244" s="13"/>
      <c r="E244" s="13"/>
      <c r="F244" s="13"/>
      <c r="G244" s="13"/>
    </row>
    <row r="245" spans="1:7" ht="16.5" customHeight="1">
      <c r="A245" s="13"/>
      <c r="B245" s="13"/>
      <c r="C245" s="13"/>
      <c r="D245" s="13"/>
      <c r="E245" s="13"/>
      <c r="F245" s="13"/>
      <c r="G245" s="13"/>
    </row>
    <row r="246" spans="1:7" ht="16.5" customHeight="1">
      <c r="A246" s="13"/>
      <c r="B246" s="13"/>
      <c r="C246" s="13"/>
      <c r="D246" s="13"/>
      <c r="E246" s="13"/>
      <c r="F246" s="13"/>
      <c r="G246" s="13"/>
    </row>
    <row r="247" spans="1:7" ht="16.5" customHeight="1">
      <c r="A247" s="13"/>
      <c r="B247" s="13"/>
      <c r="C247" s="13"/>
      <c r="D247" s="13"/>
      <c r="E247" s="13"/>
      <c r="F247" s="13"/>
      <c r="G247" s="13"/>
    </row>
    <row r="248" spans="1:7" ht="16.5" customHeight="1">
      <c r="A248" s="13"/>
      <c r="B248" s="13"/>
      <c r="C248" s="13"/>
      <c r="D248" s="13"/>
      <c r="E248" s="13"/>
      <c r="F248" s="13"/>
      <c r="G248" s="13"/>
    </row>
    <row r="249" spans="1:7" ht="16.5" customHeight="1">
      <c r="A249" s="13"/>
      <c r="B249" s="13"/>
      <c r="C249" s="13"/>
      <c r="D249" s="13"/>
      <c r="E249" s="13"/>
      <c r="F249" s="13"/>
      <c r="G249" s="13"/>
    </row>
    <row r="250" spans="1:7" ht="16.5" customHeight="1">
      <c r="A250" s="13"/>
      <c r="B250" s="13"/>
      <c r="C250" s="13"/>
      <c r="D250" s="13"/>
      <c r="E250" s="13"/>
      <c r="F250" s="13"/>
      <c r="G250" s="13"/>
    </row>
    <row r="251" spans="1:7" ht="16.5" customHeight="1">
      <c r="A251" s="13"/>
      <c r="B251" s="13"/>
      <c r="C251" s="13"/>
      <c r="D251" s="13"/>
      <c r="E251" s="13"/>
      <c r="F251" s="13"/>
      <c r="G251" s="13"/>
    </row>
    <row r="252" spans="1:7" ht="16.5" customHeight="1">
      <c r="A252" s="13"/>
      <c r="B252" s="13"/>
      <c r="C252" s="13"/>
      <c r="D252" s="13"/>
      <c r="E252" s="13"/>
      <c r="F252" s="13"/>
      <c r="G252" s="13"/>
    </row>
    <row r="253" spans="1:7" ht="16.5" customHeight="1">
      <c r="A253" s="13"/>
      <c r="B253" s="13"/>
      <c r="C253" s="13"/>
      <c r="D253" s="13"/>
      <c r="E253" s="13"/>
      <c r="F253" s="13"/>
      <c r="G253" s="13"/>
    </row>
    <row r="254" spans="1:7" ht="16.5" customHeight="1">
      <c r="A254" s="13"/>
      <c r="B254" s="13"/>
      <c r="C254" s="13"/>
      <c r="D254" s="13"/>
      <c r="E254" s="13"/>
      <c r="F254" s="13"/>
      <c r="G254" s="13"/>
    </row>
    <row r="255" spans="1:7" ht="16.5" customHeight="1">
      <c r="A255" s="13"/>
      <c r="B255" s="13"/>
      <c r="C255" s="13"/>
      <c r="D255" s="13"/>
      <c r="E255" s="13"/>
      <c r="F255" s="13"/>
      <c r="G255" s="13"/>
    </row>
    <row r="256" spans="1:7" ht="16.5" customHeight="1">
      <c r="A256" s="13"/>
      <c r="B256" s="13"/>
      <c r="C256" s="13"/>
      <c r="D256" s="13"/>
      <c r="E256" s="13"/>
      <c r="F256" s="13"/>
      <c r="G256" s="13"/>
    </row>
    <row r="257" spans="1:7" ht="16.5" customHeight="1">
      <c r="A257" s="13"/>
      <c r="B257" s="13"/>
      <c r="C257" s="13"/>
      <c r="D257" s="13"/>
      <c r="E257" s="13"/>
      <c r="F257" s="13"/>
      <c r="G257" s="13"/>
    </row>
    <row r="258" spans="1:7" ht="16.5" customHeight="1">
      <c r="A258" s="13"/>
      <c r="B258" s="13"/>
      <c r="C258" s="13"/>
      <c r="D258" s="13"/>
      <c r="E258" s="13"/>
      <c r="F258" s="13"/>
      <c r="G258" s="13"/>
    </row>
    <row r="259" spans="1:7" ht="16.5" customHeight="1">
      <c r="A259" s="13"/>
      <c r="B259" s="13"/>
      <c r="C259" s="13"/>
      <c r="D259" s="13"/>
      <c r="E259" s="13"/>
      <c r="F259" s="13"/>
      <c r="G259" s="13"/>
    </row>
    <row r="260" spans="1:7" ht="16.5" customHeight="1">
      <c r="A260" s="13"/>
      <c r="B260" s="13"/>
      <c r="C260" s="13"/>
      <c r="D260" s="13"/>
      <c r="E260" s="13"/>
      <c r="F260" s="13"/>
      <c r="G260" s="13"/>
    </row>
    <row r="261" spans="1:7" ht="16.5" customHeight="1">
      <c r="A261" s="13"/>
      <c r="B261" s="13"/>
      <c r="C261" s="13"/>
      <c r="D261" s="13"/>
      <c r="E261" s="13"/>
      <c r="F261" s="13"/>
      <c r="G261" s="13"/>
    </row>
    <row r="262" spans="1:7" ht="16.5" customHeight="1">
      <c r="A262" s="13"/>
      <c r="B262" s="13"/>
      <c r="C262" s="13"/>
      <c r="D262" s="13"/>
      <c r="E262" s="13"/>
      <c r="F262" s="13"/>
      <c r="G262" s="13"/>
    </row>
    <row r="263" spans="1:7" ht="16.5" customHeight="1">
      <c r="A263" s="13"/>
      <c r="B263" s="13"/>
      <c r="C263" s="13"/>
      <c r="D263" s="13"/>
      <c r="E263" s="13"/>
      <c r="F263" s="13"/>
      <c r="G263" s="13"/>
    </row>
    <row r="264" spans="1:7" ht="16.5" customHeight="1">
      <c r="A264" s="13"/>
      <c r="B264" s="13"/>
      <c r="C264" s="13"/>
      <c r="D264" s="13"/>
      <c r="E264" s="13"/>
      <c r="F264" s="13"/>
      <c r="G264" s="13"/>
    </row>
    <row r="265" spans="1:7" ht="16.5" customHeight="1">
      <c r="A265" s="13"/>
      <c r="B265" s="13"/>
      <c r="C265" s="13"/>
      <c r="D265" s="13"/>
      <c r="E265" s="13"/>
      <c r="F265" s="13"/>
      <c r="G265" s="13"/>
    </row>
    <row r="266" spans="1:7" ht="16.5" customHeight="1">
      <c r="A266" s="13"/>
      <c r="B266" s="13"/>
      <c r="C266" s="13"/>
      <c r="D266" s="13"/>
      <c r="E266" s="13"/>
      <c r="F266" s="13"/>
      <c r="G266" s="13"/>
    </row>
    <row r="267" spans="1:7" ht="16.5" customHeight="1">
      <c r="A267" s="13"/>
      <c r="B267" s="13"/>
      <c r="C267" s="13"/>
      <c r="D267" s="13"/>
      <c r="E267" s="13"/>
      <c r="F267" s="13"/>
      <c r="G267" s="13"/>
    </row>
    <row r="268" spans="1:7" ht="16.5" customHeight="1">
      <c r="A268" s="13"/>
      <c r="B268" s="13"/>
      <c r="C268" s="13"/>
      <c r="D268" s="13"/>
      <c r="E268" s="13"/>
      <c r="F268" s="13"/>
      <c r="G268" s="13"/>
    </row>
    <row r="269" spans="1:7" ht="16.5" customHeight="1">
      <c r="A269" s="13"/>
      <c r="B269" s="13"/>
      <c r="C269" s="13"/>
      <c r="D269" s="13"/>
      <c r="E269" s="13"/>
      <c r="F269" s="13"/>
      <c r="G269" s="13"/>
    </row>
    <row r="270" spans="1:7" ht="16.5" customHeight="1">
      <c r="A270" s="13"/>
      <c r="B270" s="13"/>
      <c r="C270" s="13"/>
      <c r="D270" s="13"/>
      <c r="E270" s="13"/>
      <c r="F270" s="13"/>
      <c r="G270" s="13"/>
    </row>
    <row r="271" spans="1:7" ht="16.5" customHeight="1">
      <c r="A271" s="13"/>
      <c r="B271" s="13"/>
      <c r="C271" s="13"/>
      <c r="D271" s="13"/>
      <c r="E271" s="13"/>
      <c r="F271" s="13"/>
      <c r="G271" s="13"/>
    </row>
    <row r="272" spans="1:7" ht="16.5" customHeight="1">
      <c r="A272" s="13"/>
      <c r="B272" s="13"/>
      <c r="C272" s="13"/>
      <c r="D272" s="13"/>
      <c r="E272" s="13"/>
      <c r="F272" s="13"/>
      <c r="G272" s="13"/>
    </row>
    <row r="273" spans="1:7" ht="16.5" customHeight="1">
      <c r="A273" s="13"/>
      <c r="B273" s="13"/>
      <c r="C273" s="13"/>
      <c r="D273" s="13"/>
      <c r="E273" s="13"/>
      <c r="F273" s="13"/>
      <c r="G273" s="13"/>
    </row>
    <row r="274" spans="1:7" ht="16.5" customHeight="1">
      <c r="A274" s="13"/>
      <c r="B274" s="13"/>
      <c r="C274" s="13"/>
      <c r="D274" s="13"/>
      <c r="E274" s="13"/>
      <c r="F274" s="13"/>
      <c r="G274" s="13"/>
    </row>
    <row r="275" spans="1:7" ht="16.5" customHeight="1">
      <c r="A275" s="13"/>
      <c r="B275" s="13"/>
      <c r="C275" s="13"/>
      <c r="D275" s="13"/>
      <c r="E275" s="13"/>
      <c r="F275" s="13"/>
      <c r="G275" s="13"/>
    </row>
    <row r="276" spans="1:7" ht="16.5" customHeight="1">
      <c r="A276" s="13"/>
      <c r="B276" s="13"/>
      <c r="C276" s="13"/>
      <c r="D276" s="13"/>
      <c r="E276" s="13"/>
      <c r="F276" s="13"/>
      <c r="G276" s="13"/>
    </row>
    <row r="277" spans="1:7" ht="16.5" customHeight="1">
      <c r="A277" s="13"/>
      <c r="B277" s="13"/>
      <c r="C277" s="13"/>
      <c r="D277" s="13"/>
      <c r="E277" s="13"/>
      <c r="F277" s="13"/>
      <c r="G277" s="13"/>
    </row>
    <row r="278" spans="1:7" ht="16.5" customHeight="1">
      <c r="A278" s="13"/>
      <c r="B278" s="13"/>
      <c r="C278" s="13"/>
      <c r="D278" s="13"/>
      <c r="E278" s="13"/>
      <c r="F278" s="13"/>
      <c r="G278" s="13"/>
    </row>
    <row r="279" spans="1:7" ht="16.5" customHeight="1">
      <c r="A279" s="13"/>
      <c r="B279" s="13"/>
      <c r="C279" s="13"/>
      <c r="D279" s="13"/>
      <c r="E279" s="13"/>
      <c r="F279" s="13"/>
      <c r="G279" s="13"/>
    </row>
    <row r="280" spans="1:7" ht="16.5" customHeight="1">
      <c r="A280" s="13"/>
      <c r="B280" s="13"/>
      <c r="C280" s="13"/>
      <c r="D280" s="13"/>
      <c r="E280" s="13"/>
      <c r="F280" s="13"/>
      <c r="G280" s="13"/>
    </row>
    <row r="281" spans="1:7" ht="16.5" customHeight="1">
      <c r="A281" s="13"/>
      <c r="B281" s="13"/>
      <c r="C281" s="13"/>
      <c r="D281" s="13"/>
      <c r="E281" s="13"/>
      <c r="F281" s="13"/>
      <c r="G281" s="13"/>
    </row>
    <row r="282" spans="1:7" ht="16.5" customHeight="1">
      <c r="A282" s="13"/>
      <c r="B282" s="13"/>
      <c r="C282" s="13"/>
      <c r="D282" s="13"/>
      <c r="E282" s="13"/>
      <c r="F282" s="13"/>
      <c r="G282" s="13"/>
    </row>
    <row r="283" spans="1:7" ht="16.5" customHeight="1">
      <c r="A283" s="13"/>
      <c r="B283" s="13"/>
      <c r="C283" s="13"/>
      <c r="D283" s="13"/>
      <c r="E283" s="13"/>
      <c r="F283" s="13"/>
      <c r="G283" s="13"/>
    </row>
    <row r="284" spans="1:7" ht="16.5" customHeight="1">
      <c r="A284" s="13"/>
      <c r="B284" s="13"/>
      <c r="C284" s="13"/>
      <c r="D284" s="13"/>
      <c r="E284" s="13"/>
      <c r="F284" s="13"/>
      <c r="G284" s="13"/>
    </row>
    <row r="285" spans="1:7" ht="16.5" customHeight="1">
      <c r="A285" s="13"/>
      <c r="B285" s="13"/>
      <c r="C285" s="13"/>
      <c r="D285" s="13"/>
      <c r="E285" s="13"/>
      <c r="F285" s="13"/>
      <c r="G285" s="13"/>
    </row>
    <row r="286" spans="1:7" ht="16.5" customHeight="1">
      <c r="A286" s="13"/>
      <c r="B286" s="13"/>
      <c r="C286" s="13"/>
      <c r="D286" s="13"/>
      <c r="E286" s="13"/>
      <c r="F286" s="13"/>
      <c r="G286" s="13"/>
    </row>
    <row r="287" spans="1:7" ht="16.5" customHeight="1">
      <c r="A287" s="13"/>
      <c r="B287" s="13"/>
      <c r="C287" s="13"/>
      <c r="D287" s="13"/>
      <c r="E287" s="13"/>
      <c r="F287" s="13"/>
      <c r="G287" s="13"/>
    </row>
    <row r="288" spans="1:7" ht="16.5" customHeight="1">
      <c r="A288" s="13"/>
      <c r="B288" s="13"/>
      <c r="C288" s="13"/>
      <c r="D288" s="13"/>
      <c r="E288" s="13"/>
      <c r="F288" s="13"/>
      <c r="G288" s="13"/>
    </row>
    <row r="289" spans="1:7" ht="16.5" customHeight="1">
      <c r="A289" s="13"/>
      <c r="B289" s="13"/>
      <c r="C289" s="13"/>
      <c r="D289" s="13"/>
      <c r="E289" s="13"/>
      <c r="F289" s="13"/>
      <c r="G289" s="13"/>
    </row>
    <row r="290" spans="1:7" ht="16.5" customHeight="1">
      <c r="A290" s="13"/>
      <c r="B290" s="13"/>
      <c r="C290" s="13"/>
      <c r="D290" s="13"/>
      <c r="E290" s="13"/>
      <c r="F290" s="13"/>
      <c r="G290" s="13"/>
    </row>
    <row r="291" spans="1:7" ht="16.5" customHeight="1">
      <c r="A291" s="13"/>
      <c r="B291" s="13"/>
      <c r="C291" s="13"/>
      <c r="D291" s="13"/>
      <c r="E291" s="13"/>
      <c r="F291" s="13"/>
      <c r="G291" s="13"/>
    </row>
    <row r="292" spans="1:7" ht="16.5" customHeight="1">
      <c r="A292" s="13"/>
      <c r="B292" s="13"/>
      <c r="C292" s="13"/>
      <c r="D292" s="13"/>
      <c r="E292" s="13"/>
      <c r="F292" s="13"/>
      <c r="G292" s="13"/>
    </row>
    <row r="293" spans="1:7" ht="16.5" customHeight="1">
      <c r="A293" s="13"/>
      <c r="B293" s="13"/>
      <c r="C293" s="13"/>
      <c r="D293" s="13"/>
      <c r="E293" s="13"/>
      <c r="F293" s="13"/>
      <c r="G293" s="13"/>
    </row>
    <row r="294" spans="1:7" ht="16.5" customHeight="1">
      <c r="A294" s="13"/>
      <c r="B294" s="13"/>
      <c r="C294" s="13"/>
      <c r="D294" s="13"/>
      <c r="E294" s="13"/>
      <c r="F294" s="13"/>
      <c r="G294" s="13"/>
    </row>
    <row r="295" spans="1:7" ht="16.5" customHeight="1">
      <c r="A295" s="13"/>
      <c r="B295" s="13"/>
      <c r="C295" s="13"/>
      <c r="D295" s="13"/>
      <c r="E295" s="13"/>
      <c r="F295" s="13"/>
      <c r="G295" s="13"/>
    </row>
    <row r="296" spans="1:7" ht="16.5" customHeight="1">
      <c r="A296" s="13"/>
      <c r="B296" s="13"/>
      <c r="C296" s="13"/>
      <c r="D296" s="13"/>
      <c r="E296" s="13"/>
      <c r="F296" s="13"/>
      <c r="G296" s="13"/>
    </row>
    <row r="297" spans="1:7" ht="16.5" customHeight="1">
      <c r="A297" s="13"/>
      <c r="B297" s="13"/>
      <c r="C297" s="13"/>
      <c r="D297" s="13"/>
      <c r="E297" s="13"/>
      <c r="F297" s="13"/>
      <c r="G297" s="13"/>
    </row>
    <row r="298" spans="1:7" ht="16.5" customHeight="1">
      <c r="A298" s="13"/>
      <c r="B298" s="13"/>
      <c r="C298" s="13"/>
      <c r="D298" s="13"/>
      <c r="E298" s="13"/>
      <c r="F298" s="13"/>
      <c r="G298" s="13"/>
    </row>
    <row r="299" spans="1:7" ht="16.5" customHeight="1">
      <c r="A299" s="13"/>
      <c r="B299" s="13"/>
      <c r="C299" s="13"/>
      <c r="D299" s="13"/>
      <c r="E299" s="13"/>
      <c r="F299" s="13"/>
      <c r="G299" s="13"/>
    </row>
    <row r="300" spans="1:7" ht="16.5" customHeight="1">
      <c r="A300" s="13"/>
      <c r="B300" s="13"/>
      <c r="C300" s="13"/>
      <c r="D300" s="13"/>
      <c r="E300" s="13"/>
      <c r="F300" s="13"/>
      <c r="G300" s="13"/>
    </row>
    <row r="301" spans="1:7" ht="16.5" customHeight="1">
      <c r="A301" s="13"/>
      <c r="B301" s="13"/>
      <c r="C301" s="13"/>
      <c r="D301" s="13"/>
      <c r="E301" s="13"/>
      <c r="F301" s="13"/>
      <c r="G301" s="13"/>
    </row>
    <row r="302" spans="1:7" ht="16.5" customHeight="1">
      <c r="A302" s="13"/>
      <c r="B302" s="13"/>
      <c r="C302" s="13"/>
      <c r="D302" s="13"/>
      <c r="E302" s="13"/>
      <c r="F302" s="13"/>
      <c r="G302" s="13"/>
    </row>
    <row r="303" spans="1:7" ht="16.5" customHeight="1">
      <c r="A303" s="13"/>
      <c r="B303" s="13"/>
      <c r="C303" s="13"/>
      <c r="D303" s="13"/>
      <c r="E303" s="13"/>
      <c r="F303" s="13"/>
      <c r="G303" s="13"/>
    </row>
    <row r="304" spans="1:7" ht="16.5" customHeight="1">
      <c r="A304" s="13"/>
      <c r="B304" s="13"/>
      <c r="C304" s="13"/>
      <c r="D304" s="13"/>
      <c r="E304" s="13"/>
      <c r="F304" s="13"/>
      <c r="G304" s="13"/>
    </row>
    <row r="305" spans="1:7" ht="16.5" customHeight="1">
      <c r="A305" s="13"/>
      <c r="B305" s="13"/>
      <c r="C305" s="13"/>
      <c r="D305" s="13"/>
      <c r="E305" s="13"/>
      <c r="F305" s="13"/>
      <c r="G305" s="13"/>
    </row>
    <row r="306" spans="1:7" ht="16.5" customHeight="1">
      <c r="A306" s="13"/>
      <c r="B306" s="13"/>
      <c r="C306" s="13"/>
      <c r="D306" s="13"/>
      <c r="E306" s="13"/>
      <c r="F306" s="13"/>
      <c r="G306" s="13"/>
    </row>
    <row r="307" spans="1:7" ht="16.5" customHeight="1">
      <c r="A307" s="13"/>
      <c r="B307" s="13"/>
      <c r="C307" s="13"/>
      <c r="D307" s="13"/>
      <c r="E307" s="13"/>
      <c r="F307" s="13"/>
      <c r="G307" s="13"/>
    </row>
    <row r="308" spans="1:7" ht="16.5" customHeight="1">
      <c r="A308" s="13"/>
      <c r="B308" s="13"/>
      <c r="C308" s="13"/>
      <c r="D308" s="13"/>
      <c r="E308" s="13"/>
      <c r="F308" s="13"/>
      <c r="G308" s="13"/>
    </row>
    <row r="309" spans="1:7" ht="16.5" customHeight="1">
      <c r="A309" s="13"/>
      <c r="B309" s="13"/>
      <c r="C309" s="13"/>
      <c r="D309" s="13"/>
      <c r="E309" s="13"/>
      <c r="F309" s="13"/>
      <c r="G309" s="13"/>
    </row>
    <row r="310" spans="1:7" ht="16.5" customHeight="1">
      <c r="A310" s="13"/>
      <c r="B310" s="13"/>
      <c r="C310" s="13"/>
      <c r="D310" s="13"/>
      <c r="E310" s="13"/>
      <c r="F310" s="13"/>
      <c r="G310" s="13"/>
    </row>
    <row r="311" spans="1:7" ht="16.5" customHeight="1">
      <c r="A311" s="13"/>
      <c r="B311" s="13"/>
      <c r="C311" s="13"/>
      <c r="D311" s="13"/>
      <c r="E311" s="13"/>
      <c r="F311" s="13"/>
      <c r="G311" s="13"/>
    </row>
    <row r="312" spans="1:7" ht="16.5" customHeight="1">
      <c r="A312" s="13"/>
      <c r="B312" s="13"/>
      <c r="C312" s="13"/>
      <c r="D312" s="13"/>
      <c r="E312" s="13"/>
      <c r="F312" s="13"/>
      <c r="G312" s="13"/>
    </row>
    <row r="313" spans="1:7" ht="16.5" customHeight="1">
      <c r="A313" s="13"/>
      <c r="B313" s="13"/>
      <c r="C313" s="13"/>
      <c r="D313" s="13"/>
      <c r="E313" s="13"/>
      <c r="F313" s="13"/>
      <c r="G313" s="13"/>
    </row>
    <row r="314" spans="1:7" ht="16.5" customHeight="1">
      <c r="A314" s="13"/>
      <c r="B314" s="13"/>
      <c r="C314" s="13"/>
      <c r="D314" s="13"/>
      <c r="E314" s="13"/>
      <c r="F314" s="13"/>
      <c r="G314" s="13"/>
    </row>
    <row r="315" spans="1:7" ht="16.5" customHeight="1">
      <c r="A315" s="13"/>
      <c r="B315" s="13"/>
      <c r="C315" s="13"/>
      <c r="D315" s="13"/>
      <c r="E315" s="13"/>
      <c r="F315" s="13"/>
      <c r="G315" s="13"/>
    </row>
    <row r="316" spans="1:7" ht="16.5" customHeight="1">
      <c r="A316" s="13"/>
      <c r="B316" s="13"/>
      <c r="C316" s="13"/>
      <c r="D316" s="13"/>
      <c r="E316" s="13"/>
      <c r="F316" s="13"/>
      <c r="G316" s="13"/>
    </row>
    <row r="317" spans="1:7" ht="16.5" customHeight="1">
      <c r="A317" s="13"/>
      <c r="B317" s="13"/>
      <c r="C317" s="13"/>
      <c r="D317" s="13"/>
      <c r="E317" s="13"/>
      <c r="F317" s="13"/>
      <c r="G317" s="13"/>
    </row>
    <row r="318" spans="1:7" ht="16.5" customHeight="1">
      <c r="A318" s="13"/>
      <c r="B318" s="13"/>
      <c r="C318" s="13"/>
      <c r="D318" s="13"/>
      <c r="E318" s="13"/>
      <c r="F318" s="13"/>
      <c r="G318" s="13"/>
    </row>
    <row r="319" spans="1:7" ht="16.5" customHeight="1">
      <c r="A319" s="13"/>
      <c r="B319" s="13"/>
      <c r="C319" s="13"/>
      <c r="D319" s="13"/>
      <c r="E319" s="13"/>
      <c r="F319" s="13"/>
      <c r="G319" s="13"/>
    </row>
    <row r="320" spans="1:7" ht="16.5" customHeight="1">
      <c r="A320" s="13"/>
      <c r="B320" s="13"/>
      <c r="C320" s="13"/>
      <c r="D320" s="13"/>
      <c r="E320" s="13"/>
      <c r="F320" s="13"/>
      <c r="G320" s="13"/>
    </row>
    <row r="321" spans="1:7" ht="16.5" customHeight="1">
      <c r="A321" s="13"/>
      <c r="B321" s="13"/>
      <c r="C321" s="13"/>
      <c r="D321" s="13"/>
      <c r="E321" s="13"/>
      <c r="F321" s="13"/>
      <c r="G321" s="13"/>
    </row>
    <row r="322" spans="1:7" ht="16.5" customHeight="1">
      <c r="A322" s="13"/>
      <c r="B322" s="13"/>
      <c r="C322" s="13"/>
      <c r="D322" s="13"/>
      <c r="E322" s="13"/>
      <c r="F322" s="13"/>
      <c r="G322" s="13"/>
    </row>
    <row r="323" spans="1:7" ht="16.5" customHeight="1">
      <c r="A323" s="13"/>
      <c r="B323" s="13"/>
      <c r="C323" s="13"/>
      <c r="D323" s="13"/>
      <c r="E323" s="13"/>
      <c r="F323" s="13"/>
      <c r="G323" s="13"/>
    </row>
    <row r="324" spans="1:7" ht="16.5" customHeight="1">
      <c r="A324" s="13"/>
      <c r="B324" s="13"/>
      <c r="C324" s="13"/>
      <c r="D324" s="13"/>
      <c r="E324" s="13"/>
      <c r="F324" s="13"/>
      <c r="G324" s="13"/>
    </row>
    <row r="325" spans="1:7" ht="16.5" customHeight="1">
      <c r="A325" s="13"/>
      <c r="B325" s="13"/>
      <c r="C325" s="13"/>
      <c r="D325" s="13"/>
      <c r="E325" s="13"/>
      <c r="F325" s="13"/>
      <c r="G325" s="13"/>
    </row>
    <row r="326" spans="1:7" ht="16.5" customHeight="1">
      <c r="A326" s="13"/>
      <c r="B326" s="13"/>
      <c r="C326" s="13"/>
      <c r="D326" s="13"/>
      <c r="E326" s="13"/>
      <c r="F326" s="13"/>
      <c r="G326" s="13"/>
    </row>
    <row r="327" spans="1:7" ht="16.5" customHeight="1">
      <c r="A327" s="13"/>
      <c r="B327" s="13"/>
      <c r="C327" s="13"/>
      <c r="D327" s="13"/>
      <c r="E327" s="13"/>
      <c r="F327" s="13"/>
      <c r="G327" s="13"/>
    </row>
    <row r="328" spans="1:7" ht="16.5" customHeight="1">
      <c r="A328" s="13"/>
      <c r="B328" s="13"/>
      <c r="C328" s="13"/>
      <c r="D328" s="13"/>
      <c r="E328" s="13"/>
      <c r="F328" s="13"/>
      <c r="G328" s="13"/>
    </row>
    <row r="329" spans="1:7" ht="16.5" customHeight="1">
      <c r="A329" s="13"/>
      <c r="B329" s="13"/>
      <c r="C329" s="13"/>
      <c r="D329" s="13"/>
      <c r="E329" s="13"/>
      <c r="F329" s="13"/>
      <c r="G329" s="13"/>
    </row>
    <row r="330" spans="1:7" ht="16.5" customHeight="1">
      <c r="A330" s="13"/>
      <c r="B330" s="13"/>
      <c r="C330" s="13"/>
      <c r="D330" s="13"/>
      <c r="E330" s="13"/>
      <c r="F330" s="13"/>
      <c r="G330" s="13"/>
    </row>
    <row r="331" spans="1:7" ht="16.5" customHeight="1">
      <c r="A331" s="13"/>
      <c r="B331" s="13"/>
      <c r="C331" s="13"/>
      <c r="D331" s="13"/>
      <c r="E331" s="13"/>
      <c r="F331" s="13"/>
      <c r="G331" s="13"/>
    </row>
    <row r="332" spans="1:7" ht="16.5" customHeight="1">
      <c r="A332" s="13"/>
      <c r="B332" s="13"/>
      <c r="C332" s="13"/>
      <c r="D332" s="13"/>
      <c r="E332" s="13"/>
      <c r="F332" s="13"/>
      <c r="G332" s="13"/>
    </row>
    <row r="333" spans="1:7" ht="16.5" customHeight="1">
      <c r="A333" s="13"/>
      <c r="B333" s="13"/>
      <c r="C333" s="13"/>
      <c r="D333" s="13"/>
      <c r="E333" s="13"/>
      <c r="F333" s="13"/>
      <c r="G333" s="13"/>
    </row>
    <row r="334" spans="1:7" ht="16.5" customHeight="1">
      <c r="A334" s="13"/>
      <c r="B334" s="13"/>
      <c r="C334" s="13"/>
      <c r="D334" s="13"/>
      <c r="E334" s="13"/>
      <c r="F334" s="13"/>
      <c r="G334" s="13"/>
    </row>
    <row r="335" spans="1:7" ht="16.5" customHeight="1">
      <c r="A335" s="13"/>
      <c r="B335" s="13"/>
      <c r="C335" s="13"/>
      <c r="D335" s="13"/>
      <c r="E335" s="13"/>
      <c r="F335" s="13"/>
      <c r="G335" s="13"/>
    </row>
    <row r="336" spans="1:7" ht="16.5" customHeight="1">
      <c r="A336" s="13"/>
      <c r="B336" s="13"/>
      <c r="C336" s="13"/>
      <c r="D336" s="13"/>
      <c r="E336" s="13"/>
      <c r="F336" s="13"/>
      <c r="G336" s="13"/>
    </row>
    <row r="337" spans="1:7" ht="16.5" customHeight="1">
      <c r="A337" s="13"/>
      <c r="B337" s="13"/>
      <c r="C337" s="13"/>
      <c r="D337" s="13"/>
      <c r="E337" s="13"/>
      <c r="F337" s="13"/>
      <c r="G337" s="13"/>
    </row>
    <row r="338" spans="1:7" ht="16.5" customHeight="1">
      <c r="A338" s="13"/>
      <c r="B338" s="13"/>
      <c r="C338" s="13"/>
      <c r="D338" s="13"/>
      <c r="E338" s="13"/>
      <c r="F338" s="13"/>
      <c r="G338" s="13"/>
    </row>
    <row r="339" spans="1:7" ht="16.5" customHeight="1">
      <c r="A339" s="13"/>
      <c r="B339" s="13"/>
      <c r="C339" s="13"/>
      <c r="D339" s="13"/>
      <c r="E339" s="13"/>
      <c r="F339" s="13"/>
      <c r="G339" s="13"/>
    </row>
    <row r="340" spans="1:7" ht="16.5" customHeight="1">
      <c r="A340" s="13"/>
      <c r="B340" s="13"/>
      <c r="C340" s="13"/>
      <c r="D340" s="13"/>
      <c r="E340" s="13"/>
      <c r="F340" s="13"/>
      <c r="G340" s="13"/>
    </row>
    <row r="341" spans="1:7" ht="16.5" customHeight="1">
      <c r="A341" s="13"/>
      <c r="B341" s="13"/>
      <c r="C341" s="13"/>
      <c r="D341" s="13"/>
      <c r="E341" s="13"/>
      <c r="F341" s="13"/>
      <c r="G341" s="13"/>
    </row>
    <row r="342" spans="1:7" ht="16.5" customHeight="1">
      <c r="A342" s="13"/>
      <c r="B342" s="13"/>
      <c r="C342" s="13"/>
      <c r="D342" s="13"/>
      <c r="E342" s="13"/>
      <c r="F342" s="13"/>
      <c r="G342" s="13"/>
    </row>
    <row r="343" spans="1:7" ht="16.5" customHeight="1">
      <c r="A343" s="13"/>
      <c r="B343" s="13"/>
      <c r="C343" s="13"/>
      <c r="D343" s="13"/>
      <c r="E343" s="13"/>
      <c r="F343" s="13"/>
      <c r="G343" s="13"/>
    </row>
    <row r="344" spans="1:7" ht="16.5" customHeight="1">
      <c r="A344" s="13"/>
      <c r="B344" s="13"/>
      <c r="C344" s="13"/>
      <c r="D344" s="13"/>
      <c r="E344" s="13"/>
      <c r="F344" s="13"/>
      <c r="G344" s="13"/>
    </row>
    <row r="345" spans="1:7" ht="16.5" customHeight="1">
      <c r="A345" s="13"/>
      <c r="B345" s="13"/>
      <c r="C345" s="13"/>
      <c r="D345" s="13"/>
      <c r="E345" s="13"/>
      <c r="F345" s="13"/>
      <c r="G345" s="13"/>
    </row>
    <row r="346" spans="1:7" ht="16.5" customHeight="1">
      <c r="A346" s="13"/>
      <c r="B346" s="13"/>
      <c r="C346" s="13"/>
      <c r="D346" s="13"/>
      <c r="E346" s="13"/>
      <c r="F346" s="13"/>
      <c r="G346" s="13"/>
    </row>
    <row r="347" spans="1:7" ht="16.5" customHeight="1">
      <c r="A347" s="13"/>
      <c r="B347" s="13"/>
      <c r="C347" s="13"/>
      <c r="D347" s="13"/>
      <c r="E347" s="13"/>
      <c r="F347" s="13"/>
      <c r="G347" s="13"/>
    </row>
    <row r="348" spans="1:7" ht="16.5" customHeight="1">
      <c r="A348" s="13"/>
      <c r="B348" s="13"/>
      <c r="C348" s="13"/>
      <c r="D348" s="13"/>
      <c r="E348" s="13"/>
      <c r="F348" s="13"/>
      <c r="G348" s="13"/>
    </row>
    <row r="349" spans="1:7" ht="16.5" customHeight="1">
      <c r="A349" s="13"/>
      <c r="B349" s="13"/>
      <c r="C349" s="13"/>
      <c r="D349" s="13"/>
      <c r="E349" s="13"/>
      <c r="F349" s="13"/>
      <c r="G349" s="13"/>
    </row>
    <row r="350" spans="1:7" ht="16.5" customHeight="1">
      <c r="A350" s="13"/>
      <c r="B350" s="13"/>
      <c r="C350" s="13"/>
      <c r="D350" s="13"/>
      <c r="E350" s="13"/>
      <c r="F350" s="13"/>
      <c r="G350" s="13"/>
    </row>
    <row r="351" spans="1:7" ht="16.5" customHeight="1">
      <c r="A351" s="13"/>
      <c r="B351" s="13"/>
      <c r="C351" s="13"/>
      <c r="D351" s="13"/>
      <c r="E351" s="13"/>
      <c r="F351" s="13"/>
      <c r="G351" s="13"/>
    </row>
    <row r="352" spans="1:7" ht="16.5" customHeight="1">
      <c r="A352" s="13"/>
      <c r="B352" s="13"/>
      <c r="C352" s="13"/>
      <c r="D352" s="13"/>
      <c r="E352" s="13"/>
      <c r="F352" s="13"/>
      <c r="G352" s="13"/>
    </row>
    <row r="353" spans="1:7" ht="16.5" customHeight="1">
      <c r="A353" s="13"/>
      <c r="B353" s="13"/>
      <c r="C353" s="13"/>
      <c r="D353" s="13"/>
      <c r="E353" s="13"/>
      <c r="F353" s="13"/>
      <c r="G353" s="13"/>
    </row>
    <row r="354" spans="1:7" ht="16.5" customHeight="1">
      <c r="A354" s="13"/>
      <c r="B354" s="13"/>
      <c r="C354" s="13"/>
      <c r="D354" s="13"/>
      <c r="E354" s="13"/>
      <c r="F354" s="13"/>
      <c r="G354" s="13"/>
    </row>
    <row r="355" spans="1:7" ht="16.5" customHeight="1">
      <c r="A355" s="13"/>
      <c r="B355" s="13"/>
      <c r="C355" s="13"/>
      <c r="D355" s="13"/>
      <c r="E355" s="13"/>
      <c r="F355" s="13"/>
      <c r="G355" s="13"/>
    </row>
    <row r="356" spans="1:7" ht="16.5" customHeight="1">
      <c r="A356" s="13"/>
      <c r="B356" s="13"/>
      <c r="C356" s="13"/>
      <c r="D356" s="13"/>
      <c r="E356" s="13"/>
      <c r="F356" s="13"/>
      <c r="G356" s="13"/>
    </row>
    <row r="357" spans="1:7" ht="16.5" customHeight="1">
      <c r="A357" s="13"/>
      <c r="B357" s="13"/>
      <c r="C357" s="13"/>
      <c r="D357" s="13"/>
      <c r="E357" s="13"/>
      <c r="F357" s="13"/>
      <c r="G357" s="13"/>
    </row>
    <row r="358" spans="1:7" ht="16.5" customHeight="1">
      <c r="A358" s="13"/>
      <c r="B358" s="13"/>
      <c r="C358" s="13"/>
      <c r="D358" s="13"/>
      <c r="E358" s="13"/>
      <c r="F358" s="13"/>
      <c r="G358" s="13"/>
    </row>
    <row r="359" spans="1:7" ht="16.5" customHeight="1">
      <c r="A359" s="13"/>
      <c r="B359" s="13"/>
      <c r="C359" s="13"/>
      <c r="D359" s="13"/>
      <c r="E359" s="13"/>
      <c r="F359" s="13"/>
      <c r="G359" s="13"/>
    </row>
    <row r="360" spans="1:7" ht="16.5" customHeight="1">
      <c r="A360" s="13"/>
      <c r="B360" s="13"/>
      <c r="C360" s="13"/>
      <c r="D360" s="13"/>
      <c r="E360" s="13"/>
      <c r="F360" s="13"/>
      <c r="G360" s="13"/>
    </row>
    <row r="361" spans="1:7" ht="16.5" customHeight="1">
      <c r="A361" s="13"/>
      <c r="B361" s="13"/>
      <c r="C361" s="13"/>
      <c r="D361" s="13"/>
      <c r="E361" s="13"/>
      <c r="F361" s="13"/>
      <c r="G361" s="13"/>
    </row>
    <row r="362" spans="1:7" ht="16.5" customHeight="1">
      <c r="A362" s="13"/>
      <c r="B362" s="13"/>
      <c r="C362" s="13"/>
      <c r="D362" s="13"/>
      <c r="E362" s="13"/>
      <c r="F362" s="13"/>
      <c r="G362" s="13"/>
    </row>
    <row r="363" spans="1:7" ht="16.5" customHeight="1">
      <c r="A363" s="13"/>
      <c r="B363" s="13"/>
      <c r="C363" s="13"/>
      <c r="D363" s="13"/>
      <c r="E363" s="13"/>
      <c r="F363" s="13"/>
      <c r="G363" s="13"/>
    </row>
    <row r="364" spans="1:7" ht="16.5" customHeight="1">
      <c r="A364" s="13"/>
      <c r="B364" s="13"/>
      <c r="C364" s="13"/>
      <c r="D364" s="13"/>
      <c r="E364" s="13"/>
      <c r="F364" s="13"/>
      <c r="G364" s="13"/>
    </row>
    <row r="365" spans="1:7" ht="16.5" customHeight="1">
      <c r="A365" s="13"/>
      <c r="B365" s="13"/>
      <c r="C365" s="13"/>
      <c r="D365" s="13"/>
      <c r="E365" s="13"/>
      <c r="F365" s="13"/>
      <c r="G365" s="13"/>
    </row>
    <row r="366" spans="1:7" ht="16.5" customHeight="1">
      <c r="A366" s="13"/>
      <c r="B366" s="13"/>
      <c r="C366" s="13"/>
      <c r="D366" s="13"/>
      <c r="E366" s="13"/>
      <c r="F366" s="13"/>
      <c r="G366" s="13"/>
    </row>
    <row r="367" spans="1:7" ht="16.5" customHeight="1">
      <c r="A367" s="13"/>
      <c r="B367" s="13"/>
      <c r="C367" s="13"/>
      <c r="D367" s="13"/>
      <c r="E367" s="13"/>
      <c r="F367" s="13"/>
      <c r="G367" s="13"/>
    </row>
    <row r="368" spans="1:7" ht="16.5" customHeight="1">
      <c r="A368" s="13"/>
      <c r="B368" s="13"/>
      <c r="C368" s="13"/>
      <c r="D368" s="13"/>
      <c r="E368" s="13"/>
      <c r="F368" s="13"/>
      <c r="G368" s="13"/>
    </row>
    <row r="369" spans="1:7" ht="16.5" customHeight="1">
      <c r="A369" s="13"/>
      <c r="B369" s="13"/>
      <c r="C369" s="13"/>
      <c r="D369" s="13"/>
      <c r="E369" s="13"/>
      <c r="F369" s="13"/>
      <c r="G369" s="13"/>
    </row>
    <row r="370" spans="1:7" ht="16.5" customHeight="1">
      <c r="A370" s="13"/>
      <c r="B370" s="13"/>
      <c r="C370" s="13"/>
      <c r="D370" s="13"/>
      <c r="E370" s="13"/>
      <c r="F370" s="13"/>
      <c r="G370" s="13"/>
    </row>
    <row r="371" spans="1:7" ht="16.5" customHeight="1">
      <c r="A371" s="13"/>
      <c r="B371" s="13"/>
      <c r="C371" s="13"/>
      <c r="D371" s="13"/>
      <c r="E371" s="13"/>
      <c r="F371" s="13"/>
      <c r="G371" s="13"/>
    </row>
    <row r="372" spans="1:7" ht="16.5" customHeight="1">
      <c r="A372" s="13"/>
      <c r="B372" s="13"/>
      <c r="C372" s="13"/>
      <c r="D372" s="13"/>
      <c r="E372" s="13"/>
      <c r="F372" s="13"/>
      <c r="G372" s="13"/>
    </row>
    <row r="373" spans="1:7" ht="16.5" customHeight="1">
      <c r="A373" s="13"/>
      <c r="B373" s="13"/>
      <c r="C373" s="13"/>
      <c r="D373" s="13"/>
      <c r="E373" s="13"/>
      <c r="F373" s="13"/>
      <c r="G373" s="13"/>
    </row>
    <row r="374" spans="1:7" ht="16.5" customHeight="1">
      <c r="A374" s="13"/>
      <c r="B374" s="13"/>
      <c r="C374" s="13"/>
      <c r="D374" s="13"/>
      <c r="E374" s="13"/>
      <c r="F374" s="13"/>
      <c r="G374" s="13"/>
    </row>
    <row r="375" spans="1:7" ht="16.5" customHeight="1">
      <c r="A375" s="13"/>
      <c r="B375" s="13"/>
      <c r="C375" s="13"/>
      <c r="D375" s="13"/>
      <c r="E375" s="13"/>
      <c r="F375" s="13"/>
      <c r="G375" s="13"/>
    </row>
    <row r="376" spans="1:7" ht="16.5" customHeight="1">
      <c r="A376" s="13"/>
      <c r="B376" s="13"/>
      <c r="C376" s="13"/>
      <c r="D376" s="13"/>
      <c r="E376" s="13"/>
      <c r="F376" s="13"/>
      <c r="G376" s="13"/>
    </row>
    <row r="377" spans="1:7" ht="16.5" customHeight="1">
      <c r="A377" s="13"/>
      <c r="B377" s="13"/>
      <c r="C377" s="13"/>
      <c r="D377" s="13"/>
      <c r="E377" s="13"/>
      <c r="F377" s="13"/>
      <c r="G377" s="13"/>
    </row>
    <row r="378" spans="1:7" ht="16.5" customHeight="1">
      <c r="A378" s="13"/>
      <c r="B378" s="13"/>
      <c r="C378" s="13"/>
      <c r="D378" s="13"/>
      <c r="E378" s="13"/>
      <c r="F378" s="13"/>
      <c r="G378" s="13"/>
    </row>
    <row r="379" spans="1:7" ht="16.5" customHeight="1">
      <c r="A379" s="13"/>
      <c r="B379" s="13"/>
      <c r="C379" s="13"/>
      <c r="D379" s="13"/>
      <c r="E379" s="13"/>
      <c r="F379" s="13"/>
      <c r="G379" s="13"/>
    </row>
    <row r="380" spans="1:7" ht="16.5" customHeight="1">
      <c r="A380" s="13"/>
      <c r="B380" s="13"/>
      <c r="C380" s="13"/>
      <c r="D380" s="13"/>
      <c r="E380" s="13"/>
      <c r="F380" s="13"/>
      <c r="G380" s="13"/>
    </row>
    <row r="381" spans="1:7" ht="16.5" customHeight="1">
      <c r="A381" s="13"/>
      <c r="B381" s="13"/>
      <c r="C381" s="13"/>
      <c r="D381" s="13"/>
      <c r="E381" s="13"/>
      <c r="F381" s="13"/>
      <c r="G381" s="13"/>
    </row>
    <row r="382" spans="1:7" ht="16.5" customHeight="1">
      <c r="A382" s="13"/>
      <c r="B382" s="13"/>
      <c r="C382" s="13"/>
      <c r="D382" s="13"/>
      <c r="E382" s="13"/>
      <c r="F382" s="13"/>
      <c r="G382" s="13"/>
    </row>
    <row r="383" spans="1:7" ht="16.5" customHeight="1">
      <c r="A383" s="13"/>
      <c r="B383" s="13"/>
      <c r="C383" s="13"/>
      <c r="D383" s="13"/>
      <c r="E383" s="13"/>
      <c r="F383" s="13"/>
      <c r="G383" s="13"/>
    </row>
    <row r="384" spans="1:7" ht="16.5" customHeight="1">
      <c r="A384" s="13"/>
      <c r="B384" s="13"/>
      <c r="C384" s="13"/>
      <c r="D384" s="13"/>
      <c r="E384" s="13"/>
      <c r="F384" s="13"/>
      <c r="G384" s="13"/>
    </row>
    <row r="385" spans="1:7" ht="16.5" customHeight="1">
      <c r="A385" s="13"/>
      <c r="B385" s="13"/>
      <c r="C385" s="13"/>
      <c r="D385" s="13"/>
      <c r="E385" s="13"/>
      <c r="F385" s="13"/>
      <c r="G385" s="13"/>
    </row>
    <row r="386" spans="1:7" ht="16.5" customHeight="1">
      <c r="A386" s="13"/>
      <c r="B386" s="13"/>
      <c r="C386" s="13"/>
      <c r="D386" s="13"/>
      <c r="E386" s="13"/>
      <c r="F386" s="13"/>
      <c r="G386" s="13"/>
    </row>
    <row r="387" spans="1:7" ht="16.5" customHeight="1">
      <c r="A387" s="13"/>
      <c r="B387" s="13"/>
      <c r="C387" s="13"/>
      <c r="D387" s="13"/>
      <c r="E387" s="13"/>
      <c r="F387" s="13"/>
      <c r="G387" s="13"/>
    </row>
    <row r="388" spans="1:7" ht="16.5" customHeight="1">
      <c r="A388" s="13"/>
      <c r="B388" s="13"/>
      <c r="C388" s="13"/>
      <c r="D388" s="13"/>
      <c r="E388" s="13"/>
      <c r="F388" s="13"/>
      <c r="G388" s="13"/>
    </row>
    <row r="389" spans="1:7" ht="16.5" customHeight="1">
      <c r="A389" s="13"/>
      <c r="B389" s="13"/>
      <c r="C389" s="13"/>
      <c r="D389" s="13"/>
      <c r="E389" s="13"/>
      <c r="F389" s="13"/>
      <c r="G389" s="13"/>
    </row>
    <row r="390" spans="1:7" ht="16.5" customHeight="1">
      <c r="A390" s="13"/>
      <c r="B390" s="13"/>
      <c r="C390" s="13"/>
      <c r="D390" s="13"/>
      <c r="E390" s="13"/>
      <c r="F390" s="13"/>
      <c r="G390" s="13"/>
    </row>
    <row r="391" spans="1:7" ht="16.5" customHeight="1">
      <c r="A391" s="13"/>
      <c r="B391" s="13"/>
      <c r="C391" s="13"/>
      <c r="D391" s="13"/>
      <c r="E391" s="13"/>
      <c r="F391" s="13"/>
      <c r="G391" s="13"/>
    </row>
    <row r="392" spans="1:7" ht="16.5" customHeight="1">
      <c r="A392" s="13"/>
      <c r="B392" s="13"/>
      <c r="C392" s="13"/>
      <c r="D392" s="13"/>
      <c r="E392" s="13"/>
      <c r="F392" s="13"/>
      <c r="G392" s="13"/>
    </row>
    <row r="393" spans="1:7" ht="16.5" customHeight="1">
      <c r="A393" s="13"/>
      <c r="B393" s="13"/>
      <c r="C393" s="13"/>
      <c r="D393" s="13"/>
      <c r="E393" s="13"/>
      <c r="F393" s="13"/>
      <c r="G393" s="13"/>
    </row>
    <row r="394" spans="1:7" ht="16.5" customHeight="1">
      <c r="A394" s="13"/>
      <c r="B394" s="13"/>
      <c r="C394" s="13"/>
      <c r="D394" s="13"/>
      <c r="E394" s="13"/>
      <c r="F394" s="13"/>
      <c r="G394" s="13"/>
    </row>
    <row r="395" spans="1:7" ht="16.5" customHeight="1">
      <c r="A395" s="13"/>
      <c r="B395" s="13"/>
      <c r="C395" s="13"/>
      <c r="D395" s="13"/>
      <c r="E395" s="13"/>
      <c r="F395" s="13"/>
      <c r="G395" s="13"/>
    </row>
    <row r="396" spans="1:7" ht="16.5" customHeight="1">
      <c r="A396" s="13"/>
      <c r="B396" s="13"/>
      <c r="C396" s="13"/>
      <c r="D396" s="13"/>
      <c r="E396" s="13"/>
      <c r="F396" s="13"/>
      <c r="G396" s="13"/>
    </row>
    <row r="397" spans="1:7" ht="16.5" customHeight="1">
      <c r="A397" s="13"/>
      <c r="B397" s="13"/>
      <c r="C397" s="13"/>
      <c r="D397" s="13"/>
      <c r="E397" s="13"/>
      <c r="F397" s="13"/>
      <c r="G397" s="13"/>
    </row>
    <row r="398" spans="1:7" ht="16.5" customHeight="1">
      <c r="A398" s="13"/>
      <c r="B398" s="13"/>
      <c r="C398" s="13"/>
      <c r="D398" s="13"/>
      <c r="E398" s="13"/>
      <c r="F398" s="13"/>
      <c r="G398" s="13"/>
    </row>
    <row r="399" spans="1:7" ht="16.5" customHeight="1">
      <c r="A399" s="13"/>
      <c r="B399" s="13"/>
      <c r="C399" s="13"/>
      <c r="D399" s="13"/>
      <c r="E399" s="13"/>
      <c r="F399" s="13"/>
      <c r="G399" s="13"/>
    </row>
    <row r="400" spans="1:7" ht="16.5" customHeight="1">
      <c r="A400" s="13"/>
      <c r="B400" s="13"/>
      <c r="C400" s="13"/>
      <c r="D400" s="13"/>
      <c r="E400" s="13"/>
      <c r="F400" s="13"/>
      <c r="G400" s="13"/>
    </row>
    <row r="401" spans="1:7" ht="16.5" customHeight="1">
      <c r="A401" s="13"/>
      <c r="B401" s="13"/>
      <c r="C401" s="13"/>
      <c r="D401" s="13"/>
      <c r="E401" s="13"/>
      <c r="F401" s="13"/>
      <c r="G401" s="13"/>
    </row>
    <row r="402" spans="1:7" ht="16.5" customHeight="1">
      <c r="A402" s="13"/>
      <c r="B402" s="13"/>
      <c r="C402" s="13"/>
      <c r="D402" s="13"/>
      <c r="E402" s="13"/>
      <c r="F402" s="13"/>
      <c r="G402" s="13"/>
    </row>
    <row r="403" spans="1:7" ht="16.5" customHeight="1">
      <c r="A403" s="13"/>
      <c r="B403" s="13"/>
      <c r="C403" s="13"/>
      <c r="D403" s="13"/>
      <c r="E403" s="13"/>
      <c r="F403" s="13"/>
      <c r="G403" s="13"/>
    </row>
    <row r="404" spans="1:7" ht="16.5" customHeight="1">
      <c r="A404" s="13"/>
      <c r="B404" s="13"/>
      <c r="C404" s="13"/>
      <c r="D404" s="13"/>
      <c r="E404" s="13"/>
      <c r="F404" s="13"/>
      <c r="G404" s="13"/>
    </row>
    <row r="405" spans="1:7" ht="16.5" customHeight="1">
      <c r="A405" s="13"/>
      <c r="B405" s="13"/>
      <c r="C405" s="13"/>
      <c r="D405" s="13"/>
      <c r="E405" s="13"/>
      <c r="F405" s="13"/>
      <c r="G405" s="13"/>
    </row>
    <row r="406" spans="1:7" ht="16.5" customHeight="1">
      <c r="A406" s="13"/>
      <c r="B406" s="13"/>
      <c r="C406" s="13"/>
      <c r="D406" s="13"/>
      <c r="E406" s="13"/>
      <c r="F406" s="13"/>
      <c r="G406" s="13"/>
    </row>
    <row r="407" spans="1:7" ht="16.5" customHeight="1">
      <c r="A407" s="13"/>
      <c r="B407" s="13"/>
      <c r="C407" s="13"/>
      <c r="D407" s="13"/>
      <c r="E407" s="13"/>
      <c r="F407" s="13"/>
      <c r="G407" s="13"/>
    </row>
    <row r="408" spans="1:7" ht="16.5" customHeight="1">
      <c r="A408" s="13"/>
      <c r="B408" s="13"/>
      <c r="C408" s="13"/>
      <c r="D408" s="13"/>
      <c r="E408" s="13"/>
      <c r="F408" s="13"/>
      <c r="G408" s="13"/>
    </row>
    <row r="409" spans="1:7" ht="16.5" customHeight="1">
      <c r="A409" s="13"/>
      <c r="B409" s="13"/>
      <c r="C409" s="13"/>
      <c r="D409" s="13"/>
      <c r="E409" s="13"/>
      <c r="F409" s="13"/>
      <c r="G409" s="13"/>
    </row>
    <row r="410" spans="1:7" ht="16.5" customHeight="1">
      <c r="A410" s="13"/>
      <c r="B410" s="13"/>
      <c r="C410" s="13"/>
      <c r="D410" s="13"/>
      <c r="E410" s="13"/>
      <c r="F410" s="13"/>
      <c r="G410" s="13"/>
    </row>
    <row r="411" spans="1:7" ht="16.5" customHeight="1">
      <c r="A411" s="13"/>
      <c r="B411" s="13"/>
      <c r="C411" s="13"/>
      <c r="D411" s="13"/>
      <c r="E411" s="13"/>
      <c r="F411" s="13"/>
      <c r="G411" s="13"/>
    </row>
    <row r="412" spans="1:7" ht="16.5" customHeight="1">
      <c r="A412" s="13"/>
      <c r="B412" s="13"/>
      <c r="C412" s="13"/>
      <c r="D412" s="13"/>
      <c r="E412" s="13"/>
      <c r="F412" s="13"/>
      <c r="G412" s="13"/>
    </row>
    <row r="413" spans="1:7" ht="16.5" customHeight="1">
      <c r="A413" s="13"/>
      <c r="B413" s="13"/>
      <c r="C413" s="13"/>
      <c r="D413" s="13"/>
      <c r="E413" s="13"/>
      <c r="F413" s="13"/>
      <c r="G413" s="13"/>
    </row>
    <row r="414" spans="1:7" ht="16.5" customHeight="1">
      <c r="A414" s="13"/>
      <c r="B414" s="13"/>
      <c r="C414" s="13"/>
      <c r="D414" s="13"/>
      <c r="E414" s="13"/>
      <c r="F414" s="13"/>
      <c r="G414" s="13"/>
    </row>
    <row r="415" spans="1:7" ht="16.5" customHeight="1">
      <c r="A415" s="13"/>
      <c r="B415" s="13"/>
      <c r="C415" s="13"/>
      <c r="D415" s="13"/>
      <c r="E415" s="13"/>
      <c r="F415" s="13"/>
      <c r="G415" s="13"/>
    </row>
    <row r="416" spans="1:7" ht="16.5" customHeight="1">
      <c r="A416" s="13"/>
      <c r="B416" s="13"/>
      <c r="C416" s="13"/>
      <c r="D416" s="13"/>
      <c r="E416" s="13"/>
      <c r="F416" s="13"/>
      <c r="G416" s="13"/>
    </row>
    <row r="417" spans="1:7" ht="16.5" customHeight="1">
      <c r="A417" s="13"/>
      <c r="B417" s="13"/>
      <c r="C417" s="13"/>
      <c r="D417" s="13"/>
      <c r="E417" s="13"/>
      <c r="F417" s="13"/>
      <c r="G417" s="13"/>
    </row>
    <row r="418" spans="1:7" ht="16.5" customHeight="1">
      <c r="A418" s="13"/>
      <c r="B418" s="13"/>
      <c r="C418" s="13"/>
      <c r="D418" s="13"/>
      <c r="E418" s="13"/>
      <c r="F418" s="13"/>
      <c r="G418" s="13"/>
    </row>
    <row r="419" spans="1:7" ht="16.5" customHeight="1">
      <c r="A419" s="13"/>
      <c r="B419" s="13"/>
      <c r="C419" s="13"/>
      <c r="D419" s="13"/>
      <c r="E419" s="13"/>
      <c r="F419" s="13"/>
      <c r="G419" s="13"/>
    </row>
    <row r="420" spans="1:7" ht="16.5" customHeight="1">
      <c r="A420" s="13"/>
      <c r="B420" s="13"/>
      <c r="C420" s="13"/>
      <c r="D420" s="13"/>
      <c r="E420" s="13"/>
      <c r="F420" s="13"/>
      <c r="G420" s="13"/>
    </row>
    <row r="421" spans="1:7" ht="16.5" customHeight="1">
      <c r="A421" s="13"/>
      <c r="B421" s="13"/>
      <c r="C421" s="13"/>
      <c r="D421" s="13"/>
      <c r="E421" s="13"/>
      <c r="F421" s="13"/>
      <c r="G421" s="13"/>
    </row>
    <row r="422" spans="1:7" ht="16.5" customHeight="1">
      <c r="A422" s="13"/>
      <c r="B422" s="13"/>
      <c r="C422" s="13"/>
      <c r="D422" s="13"/>
      <c r="E422" s="13"/>
      <c r="F422" s="13"/>
      <c r="G422" s="13"/>
    </row>
    <row r="423" spans="1:7" ht="16.5" customHeight="1">
      <c r="A423" s="13"/>
      <c r="B423" s="13"/>
      <c r="C423" s="13"/>
      <c r="D423" s="13"/>
      <c r="E423" s="13"/>
      <c r="F423" s="13"/>
      <c r="G423" s="13"/>
    </row>
    <row r="424" spans="1:7" ht="16.5" customHeight="1">
      <c r="A424" s="13"/>
      <c r="B424" s="13"/>
      <c r="C424" s="13"/>
      <c r="D424" s="13"/>
      <c r="E424" s="13"/>
      <c r="F424" s="13"/>
      <c r="G424" s="13"/>
    </row>
    <row r="425" spans="1:7" ht="16.5" customHeight="1">
      <c r="A425" s="13"/>
      <c r="B425" s="13"/>
      <c r="C425" s="13"/>
      <c r="D425" s="13"/>
      <c r="E425" s="13"/>
      <c r="F425" s="13"/>
      <c r="G425" s="13"/>
    </row>
    <row r="426" spans="1:7" ht="16.5" customHeight="1">
      <c r="A426" s="13"/>
      <c r="B426" s="13"/>
      <c r="C426" s="13"/>
      <c r="D426" s="13"/>
      <c r="E426" s="13"/>
      <c r="F426" s="13"/>
      <c r="G426" s="13"/>
    </row>
    <row r="427" spans="1:7" ht="16.5" customHeight="1">
      <c r="A427" s="13"/>
      <c r="B427" s="13"/>
      <c r="C427" s="13"/>
      <c r="D427" s="13"/>
      <c r="E427" s="13"/>
      <c r="F427" s="13"/>
      <c r="G427" s="13"/>
    </row>
    <row r="428" spans="1:7" ht="16.5" customHeight="1">
      <c r="A428" s="13"/>
      <c r="B428" s="13"/>
      <c r="C428" s="13"/>
      <c r="D428" s="13"/>
      <c r="E428" s="13"/>
      <c r="F428" s="13"/>
      <c r="G428" s="13"/>
    </row>
    <row r="429" spans="1:7" ht="16.5" customHeight="1">
      <c r="A429" s="13"/>
      <c r="B429" s="13"/>
      <c r="C429" s="13"/>
      <c r="D429" s="13"/>
      <c r="E429" s="13"/>
      <c r="F429" s="13"/>
      <c r="G429" s="13"/>
    </row>
    <row r="430" spans="1:7" ht="16.5" customHeight="1">
      <c r="A430" s="13"/>
      <c r="B430" s="13"/>
      <c r="C430" s="13"/>
      <c r="D430" s="13"/>
      <c r="E430" s="13"/>
      <c r="F430" s="13"/>
      <c r="G430" s="13"/>
    </row>
    <row r="431" spans="1:7" ht="16.5" customHeight="1">
      <c r="A431" s="13"/>
      <c r="B431" s="13"/>
      <c r="C431" s="13"/>
      <c r="D431" s="13"/>
      <c r="E431" s="13"/>
      <c r="F431" s="13"/>
      <c r="G431" s="13"/>
    </row>
    <row r="432" spans="1:7" ht="16.5" customHeight="1">
      <c r="A432" s="13"/>
      <c r="B432" s="13"/>
      <c r="C432" s="13"/>
      <c r="D432" s="13"/>
      <c r="E432" s="13"/>
      <c r="F432" s="13"/>
      <c r="G432" s="13"/>
    </row>
    <row r="433" spans="1:7" ht="16.5" customHeight="1">
      <c r="A433" s="13"/>
      <c r="B433" s="13"/>
      <c r="C433" s="13"/>
      <c r="D433" s="13"/>
      <c r="E433" s="13"/>
      <c r="F433" s="13"/>
      <c r="G433" s="13"/>
    </row>
    <row r="434" spans="1:7" ht="16.5" customHeight="1">
      <c r="A434" s="13"/>
      <c r="B434" s="13"/>
      <c r="C434" s="13"/>
      <c r="D434" s="13"/>
      <c r="E434" s="13"/>
      <c r="F434" s="13"/>
      <c r="G434" s="13"/>
    </row>
    <row r="435" spans="1:7" ht="16.5" customHeight="1">
      <c r="A435" s="13"/>
      <c r="B435" s="13"/>
      <c r="C435" s="13"/>
      <c r="D435" s="13"/>
      <c r="E435" s="13"/>
      <c r="F435" s="13"/>
      <c r="G435" s="13"/>
    </row>
    <row r="436" spans="1:7" ht="16.5" customHeight="1">
      <c r="A436" s="13"/>
      <c r="B436" s="13"/>
      <c r="C436" s="13"/>
      <c r="D436" s="13"/>
      <c r="E436" s="13"/>
      <c r="F436" s="13"/>
      <c r="G436" s="13"/>
    </row>
    <row r="437" spans="1:7" ht="16.5" customHeight="1">
      <c r="A437" s="13"/>
      <c r="B437" s="13"/>
      <c r="C437" s="13"/>
      <c r="D437" s="13"/>
      <c r="E437" s="13"/>
      <c r="F437" s="13"/>
      <c r="G437" s="13"/>
    </row>
    <row r="438" spans="1:7" ht="16.5" customHeight="1">
      <c r="A438" s="13"/>
      <c r="B438" s="13"/>
      <c r="C438" s="13"/>
      <c r="D438" s="13"/>
      <c r="E438" s="13"/>
      <c r="F438" s="13"/>
      <c r="G438" s="13"/>
    </row>
    <row r="439" spans="1:7" ht="16.5" customHeight="1">
      <c r="A439" s="13"/>
      <c r="B439" s="13"/>
      <c r="C439" s="13"/>
      <c r="D439" s="13"/>
      <c r="E439" s="13"/>
      <c r="F439" s="13"/>
      <c r="G439" s="13"/>
    </row>
    <row r="440" spans="1:7" ht="16.5" customHeight="1">
      <c r="A440" s="13"/>
      <c r="B440" s="13"/>
      <c r="C440" s="13"/>
      <c r="D440" s="13"/>
      <c r="E440" s="13"/>
      <c r="F440" s="13"/>
      <c r="G440" s="13"/>
    </row>
    <row r="441" spans="1:7" ht="16.5" customHeight="1">
      <c r="A441" s="13"/>
      <c r="B441" s="13"/>
      <c r="C441" s="13"/>
      <c r="D441" s="13"/>
      <c r="E441" s="13"/>
      <c r="F441" s="13"/>
      <c r="G441" s="13"/>
    </row>
    <row r="442" spans="1:7" ht="16.5" customHeight="1">
      <c r="A442" s="13"/>
      <c r="B442" s="13"/>
      <c r="C442" s="13"/>
      <c r="D442" s="13"/>
      <c r="E442" s="13"/>
      <c r="F442" s="13"/>
      <c r="G442" s="13"/>
    </row>
    <row r="443" spans="1:7" ht="16.5" customHeight="1">
      <c r="A443" s="13"/>
      <c r="B443" s="13"/>
      <c r="C443" s="13"/>
      <c r="D443" s="13"/>
      <c r="E443" s="13"/>
      <c r="F443" s="13"/>
      <c r="G443" s="13"/>
    </row>
    <row r="444" spans="1:7" ht="16.5" customHeight="1">
      <c r="A444" s="13"/>
      <c r="B444" s="13"/>
      <c r="C444" s="13"/>
      <c r="D444" s="13"/>
      <c r="E444" s="13"/>
      <c r="F444" s="13"/>
      <c r="G444" s="13"/>
    </row>
    <row r="445" spans="1:7" ht="16.5" customHeight="1">
      <c r="A445" s="13"/>
      <c r="B445" s="13"/>
      <c r="C445" s="13"/>
      <c r="D445" s="13"/>
      <c r="E445" s="13"/>
      <c r="F445" s="13"/>
      <c r="G445" s="13"/>
    </row>
    <row r="446" spans="1:7" ht="16.5" customHeight="1">
      <c r="A446" s="13"/>
      <c r="B446" s="13"/>
      <c r="C446" s="13"/>
      <c r="D446" s="13"/>
      <c r="E446" s="13"/>
      <c r="F446" s="13"/>
      <c r="G446" s="13"/>
    </row>
    <row r="447" spans="1:7" ht="16.5" customHeight="1">
      <c r="A447" s="13"/>
      <c r="B447" s="13"/>
      <c r="C447" s="13"/>
      <c r="D447" s="13"/>
      <c r="E447" s="13"/>
      <c r="F447" s="13"/>
      <c r="G447" s="13"/>
    </row>
    <row r="448" spans="1:7" ht="16.5" customHeight="1">
      <c r="A448" s="13"/>
      <c r="B448" s="13"/>
      <c r="C448" s="13"/>
      <c r="D448" s="13"/>
      <c r="E448" s="13"/>
      <c r="F448" s="13"/>
      <c r="G448" s="13"/>
    </row>
    <row r="449" spans="1:7" ht="16.5" customHeight="1">
      <c r="A449" s="13"/>
      <c r="B449" s="13"/>
      <c r="C449" s="13"/>
      <c r="D449" s="13"/>
      <c r="E449" s="13"/>
      <c r="F449" s="13"/>
      <c r="G449" s="13"/>
    </row>
    <row r="450" spans="1:7" ht="16.5" customHeight="1">
      <c r="A450" s="13"/>
      <c r="B450" s="13"/>
      <c r="C450" s="13"/>
      <c r="D450" s="13"/>
      <c r="E450" s="13"/>
      <c r="F450" s="13"/>
      <c r="G450" s="13"/>
    </row>
    <row r="451" spans="1:7" ht="16.5" customHeight="1">
      <c r="A451" s="13"/>
      <c r="B451" s="13"/>
      <c r="C451" s="13"/>
      <c r="D451" s="13"/>
      <c r="E451" s="13"/>
      <c r="F451" s="13"/>
      <c r="G451" s="13"/>
    </row>
    <row r="452" spans="1:7" ht="16.5" customHeight="1">
      <c r="A452" s="13"/>
      <c r="B452" s="13"/>
      <c r="C452" s="13"/>
      <c r="D452" s="13"/>
      <c r="E452" s="13"/>
      <c r="F452" s="13"/>
      <c r="G452" s="13"/>
    </row>
    <row r="453" spans="1:7" ht="16.5" customHeight="1">
      <c r="A453" s="13"/>
      <c r="B453" s="13"/>
      <c r="C453" s="13"/>
      <c r="D453" s="13"/>
      <c r="E453" s="13"/>
      <c r="F453" s="13"/>
      <c r="G453" s="13"/>
    </row>
    <row r="454" spans="1:7" ht="16.5" customHeight="1">
      <c r="A454" s="13"/>
      <c r="B454" s="13"/>
      <c r="C454" s="13"/>
      <c r="D454" s="13"/>
      <c r="E454" s="13"/>
      <c r="F454" s="13"/>
      <c r="G454" s="13"/>
    </row>
    <row r="455" spans="1:7" ht="16.5" customHeight="1">
      <c r="A455" s="13"/>
      <c r="B455" s="13"/>
      <c r="C455" s="13"/>
      <c r="D455" s="13"/>
      <c r="E455" s="13"/>
      <c r="F455" s="13"/>
      <c r="G455" s="13"/>
    </row>
    <row r="456" spans="1:7" ht="16.5" customHeight="1">
      <c r="A456" s="13"/>
      <c r="B456" s="13"/>
      <c r="C456" s="13"/>
      <c r="D456" s="13"/>
      <c r="E456" s="13"/>
      <c r="F456" s="13"/>
      <c r="G456" s="13"/>
    </row>
    <row r="457" spans="1:7" ht="16.5" customHeight="1">
      <c r="A457" s="13"/>
      <c r="B457" s="13"/>
      <c r="C457" s="13"/>
      <c r="D457" s="13"/>
      <c r="E457" s="13"/>
      <c r="F457" s="13"/>
      <c r="G457" s="13"/>
    </row>
    <row r="458" spans="1:7" ht="16.5" customHeight="1">
      <c r="A458" s="13"/>
      <c r="B458" s="13"/>
      <c r="C458" s="13"/>
      <c r="D458" s="13"/>
      <c r="E458" s="13"/>
      <c r="F458" s="13"/>
      <c r="G458" s="13"/>
    </row>
    <row r="459" spans="1:7" ht="16.5" customHeight="1">
      <c r="A459" s="13"/>
      <c r="B459" s="13"/>
      <c r="C459" s="13"/>
      <c r="D459" s="13"/>
      <c r="E459" s="13"/>
      <c r="F459" s="13"/>
      <c r="G459" s="13"/>
    </row>
    <row r="460" spans="1:7" ht="16.5" customHeight="1">
      <c r="A460" s="13"/>
      <c r="B460" s="13"/>
      <c r="C460" s="13"/>
      <c r="D460" s="13"/>
      <c r="E460" s="13"/>
      <c r="F460" s="13"/>
      <c r="G460" s="13"/>
    </row>
    <row r="461" spans="1:7" ht="16.5" customHeight="1">
      <c r="A461" s="13"/>
      <c r="B461" s="13"/>
      <c r="C461" s="13"/>
      <c r="D461" s="13"/>
      <c r="E461" s="13"/>
      <c r="F461" s="13"/>
      <c r="G461" s="13"/>
    </row>
    <row r="462" spans="1:7" ht="16.5" customHeight="1">
      <c r="A462" s="13"/>
      <c r="B462" s="13"/>
      <c r="C462" s="13"/>
      <c r="D462" s="13"/>
      <c r="E462" s="13"/>
      <c r="F462" s="13"/>
      <c r="G462" s="13"/>
    </row>
    <row r="463" spans="1:7" ht="16.5" customHeight="1">
      <c r="A463" s="13"/>
      <c r="B463" s="13"/>
      <c r="C463" s="13"/>
      <c r="D463" s="13"/>
      <c r="E463" s="13"/>
      <c r="F463" s="13"/>
      <c r="G463" s="13"/>
    </row>
    <row r="464" spans="1:7" ht="16.5" customHeight="1">
      <c r="A464" s="13"/>
      <c r="B464" s="13"/>
      <c r="C464" s="13"/>
      <c r="D464" s="13"/>
      <c r="E464" s="13"/>
      <c r="F464" s="13"/>
      <c r="G464" s="13"/>
    </row>
    <row r="465" spans="1:7" ht="16.5" customHeight="1">
      <c r="A465" s="13"/>
      <c r="B465" s="13"/>
      <c r="C465" s="13"/>
      <c r="D465" s="13"/>
      <c r="E465" s="13"/>
      <c r="F465" s="13"/>
      <c r="G465" s="13"/>
    </row>
    <row r="466" spans="1:7" ht="16.5" customHeight="1">
      <c r="A466" s="13"/>
      <c r="B466" s="13"/>
      <c r="C466" s="13"/>
      <c r="D466" s="13"/>
      <c r="E466" s="13"/>
      <c r="F466" s="13"/>
      <c r="G466" s="13"/>
    </row>
    <row r="467" spans="1:7" ht="16.5" customHeight="1">
      <c r="A467" s="13"/>
      <c r="B467" s="13"/>
      <c r="C467" s="13"/>
      <c r="D467" s="13"/>
      <c r="E467" s="13"/>
      <c r="F467" s="13"/>
      <c r="G467" s="13"/>
    </row>
    <row r="468" spans="1:7" ht="16.5" customHeight="1">
      <c r="A468" s="13"/>
      <c r="B468" s="13"/>
      <c r="C468" s="13"/>
      <c r="D468" s="13"/>
      <c r="E468" s="13"/>
      <c r="F468" s="13"/>
      <c r="G468" s="13"/>
    </row>
    <row r="469" spans="1:7" ht="16.5" customHeight="1">
      <c r="A469" s="13"/>
      <c r="B469" s="13"/>
      <c r="C469" s="13"/>
      <c r="D469" s="13"/>
      <c r="E469" s="13"/>
      <c r="F469" s="13"/>
      <c r="G469" s="13"/>
    </row>
    <row r="470" spans="1:7" ht="16.5" customHeight="1">
      <c r="A470" s="13"/>
      <c r="B470" s="13"/>
      <c r="C470" s="13"/>
      <c r="D470" s="13"/>
      <c r="E470" s="13"/>
      <c r="F470" s="13"/>
      <c r="G470" s="13"/>
    </row>
    <row r="471" spans="1:7" ht="16.5" customHeight="1">
      <c r="A471" s="13"/>
      <c r="B471" s="13"/>
      <c r="C471" s="13"/>
      <c r="D471" s="13"/>
      <c r="E471" s="13"/>
      <c r="F471" s="13"/>
      <c r="G471" s="13"/>
    </row>
    <row r="472" spans="1:7" ht="16.5" customHeight="1">
      <c r="A472" s="13"/>
      <c r="B472" s="13"/>
      <c r="C472" s="13"/>
      <c r="D472" s="13"/>
      <c r="E472" s="13"/>
      <c r="F472" s="13"/>
      <c r="G472" s="13"/>
    </row>
    <row r="473" spans="1:7" ht="16.5" customHeight="1">
      <c r="A473" s="13"/>
      <c r="B473" s="13"/>
      <c r="C473" s="13"/>
      <c r="D473" s="13"/>
      <c r="E473" s="13"/>
      <c r="F473" s="13"/>
      <c r="G473" s="13"/>
    </row>
    <row r="474" spans="1:7" ht="16.5" customHeight="1">
      <c r="A474" s="13"/>
      <c r="B474" s="13"/>
      <c r="C474" s="13"/>
      <c r="D474" s="13"/>
      <c r="E474" s="13"/>
      <c r="F474" s="13"/>
      <c r="G474" s="13"/>
    </row>
    <row r="475" spans="1:7" ht="16.5" customHeight="1">
      <c r="A475" s="13"/>
      <c r="B475" s="13"/>
      <c r="C475" s="13"/>
      <c r="D475" s="13"/>
      <c r="E475" s="13"/>
      <c r="F475" s="13"/>
      <c r="G475" s="13"/>
    </row>
    <row r="476" spans="1:7" ht="16.5" customHeight="1">
      <c r="A476" s="13"/>
      <c r="B476" s="13"/>
      <c r="C476" s="13"/>
      <c r="D476" s="13"/>
      <c r="E476" s="13"/>
      <c r="F476" s="13"/>
      <c r="G476" s="13"/>
    </row>
    <row r="477" spans="1:7" ht="16.5" customHeight="1">
      <c r="A477" s="13"/>
      <c r="B477" s="13"/>
      <c r="C477" s="13"/>
      <c r="D477" s="13"/>
      <c r="E477" s="13"/>
      <c r="F477" s="13"/>
      <c r="G477" s="13"/>
    </row>
    <row r="478" spans="1:7" ht="16.5" customHeight="1">
      <c r="A478" s="13"/>
      <c r="B478" s="13"/>
      <c r="C478" s="13"/>
      <c r="D478" s="13"/>
      <c r="E478" s="13"/>
      <c r="F478" s="13"/>
      <c r="G478" s="13"/>
    </row>
    <row r="479" spans="1:7" ht="16.5" customHeight="1">
      <c r="A479" s="13"/>
      <c r="B479" s="13"/>
      <c r="C479" s="13"/>
      <c r="D479" s="13"/>
      <c r="E479" s="13"/>
      <c r="F479" s="13"/>
      <c r="G479" s="13"/>
    </row>
    <row r="480" spans="1:7" ht="16.5" customHeight="1">
      <c r="A480" s="13"/>
      <c r="B480" s="13"/>
      <c r="C480" s="13"/>
      <c r="D480" s="13"/>
      <c r="E480" s="13"/>
      <c r="F480" s="13"/>
      <c r="G480" s="13"/>
    </row>
    <row r="481" spans="1:7" ht="16.5" customHeight="1">
      <c r="A481" s="13"/>
      <c r="B481" s="13"/>
      <c r="C481" s="13"/>
      <c r="D481" s="13"/>
      <c r="E481" s="13"/>
      <c r="F481" s="13"/>
      <c r="G481" s="13"/>
    </row>
    <row r="482" spans="1:7" ht="16.5" customHeight="1">
      <c r="A482" s="13"/>
      <c r="B482" s="13"/>
      <c r="C482" s="13"/>
      <c r="D482" s="13"/>
      <c r="E482" s="13"/>
      <c r="F482" s="13"/>
      <c r="G482" s="13"/>
    </row>
    <row r="483" spans="1:7" ht="16.5" customHeight="1">
      <c r="A483" s="13"/>
      <c r="B483" s="13"/>
      <c r="C483" s="13"/>
      <c r="D483" s="13"/>
      <c r="E483" s="13"/>
      <c r="F483" s="13"/>
      <c r="G483" s="13"/>
    </row>
    <row r="484" spans="1:7" ht="16.5" customHeight="1">
      <c r="A484" s="13"/>
      <c r="B484" s="13"/>
      <c r="C484" s="13"/>
      <c r="D484" s="13"/>
      <c r="E484" s="13"/>
      <c r="F484" s="13"/>
      <c r="G484" s="13"/>
    </row>
    <row r="485" spans="1:7" ht="16.5" customHeight="1">
      <c r="A485" s="13"/>
      <c r="B485" s="13"/>
      <c r="C485" s="13"/>
      <c r="D485" s="13"/>
      <c r="E485" s="13"/>
      <c r="F485" s="13"/>
      <c r="G485" s="13"/>
    </row>
    <row r="486" spans="1:7" ht="16.5" customHeight="1">
      <c r="A486" s="13"/>
      <c r="B486" s="13"/>
      <c r="C486" s="13"/>
      <c r="D486" s="13"/>
      <c r="E486" s="13"/>
      <c r="F486" s="13"/>
      <c r="G486" s="13"/>
    </row>
    <row r="487" spans="1:7" ht="16.5" customHeight="1">
      <c r="A487" s="13"/>
      <c r="B487" s="13"/>
      <c r="C487" s="13"/>
      <c r="D487" s="13"/>
      <c r="E487" s="13"/>
      <c r="F487" s="13"/>
      <c r="G487" s="13"/>
    </row>
    <row r="488" spans="1:7" ht="16.5" customHeight="1">
      <c r="A488" s="13"/>
      <c r="B488" s="13"/>
      <c r="C488" s="13"/>
      <c r="D488" s="13"/>
      <c r="E488" s="13"/>
      <c r="F488" s="13"/>
      <c r="G488" s="13"/>
    </row>
    <row r="489" spans="1:7" ht="16.5" customHeight="1">
      <c r="A489" s="13"/>
      <c r="B489" s="13"/>
      <c r="C489" s="13"/>
      <c r="D489" s="13"/>
      <c r="E489" s="13"/>
      <c r="F489" s="13"/>
      <c r="G489" s="13"/>
    </row>
    <row r="490" spans="1:7" ht="16.5" customHeight="1">
      <c r="A490" s="13"/>
      <c r="B490" s="13"/>
      <c r="C490" s="13"/>
      <c r="D490" s="13"/>
      <c r="E490" s="13"/>
      <c r="F490" s="13"/>
      <c r="G490" s="13"/>
    </row>
    <row r="491" spans="1:7" ht="16.5" customHeight="1">
      <c r="A491" s="13"/>
      <c r="B491" s="13"/>
      <c r="C491" s="13"/>
      <c r="D491" s="13"/>
      <c r="E491" s="13"/>
      <c r="F491" s="13"/>
      <c r="G491" s="13"/>
    </row>
    <row r="492" spans="1:7" ht="16.5" customHeight="1">
      <c r="A492" s="13"/>
      <c r="B492" s="13"/>
      <c r="C492" s="13"/>
      <c r="D492" s="13"/>
      <c r="E492" s="13"/>
      <c r="F492" s="13"/>
      <c r="G492" s="13"/>
    </row>
    <row r="493" spans="1:7" ht="16.5" customHeight="1">
      <c r="A493" s="13"/>
      <c r="B493" s="13"/>
      <c r="C493" s="13"/>
      <c r="D493" s="13"/>
      <c r="E493" s="13"/>
      <c r="F493" s="13"/>
      <c r="G493" s="13"/>
    </row>
    <row r="494" spans="1:7" ht="16.5" customHeight="1">
      <c r="A494" s="13"/>
      <c r="B494" s="13"/>
      <c r="C494" s="13"/>
      <c r="D494" s="13"/>
      <c r="E494" s="13"/>
      <c r="F494" s="13"/>
      <c r="G494" s="13"/>
    </row>
    <row r="495" spans="1:7" ht="16.5" customHeight="1">
      <c r="A495" s="13"/>
      <c r="B495" s="13"/>
      <c r="C495" s="13"/>
      <c r="D495" s="13"/>
      <c r="E495" s="13"/>
      <c r="F495" s="13"/>
      <c r="G495" s="13"/>
    </row>
    <row r="496" spans="1:7" ht="16.5" customHeight="1">
      <c r="A496" s="13"/>
      <c r="B496" s="13"/>
      <c r="C496" s="13"/>
      <c r="D496" s="13"/>
      <c r="E496" s="13"/>
      <c r="F496" s="13"/>
      <c r="G496" s="13"/>
    </row>
    <row r="497" spans="1:7" ht="16.5" customHeight="1">
      <c r="A497" s="13"/>
      <c r="B497" s="13"/>
      <c r="C497" s="13"/>
      <c r="D497" s="13"/>
      <c r="E497" s="13"/>
      <c r="F497" s="13"/>
      <c r="G497" s="13"/>
    </row>
    <row r="498" spans="1:7" ht="16.5" customHeight="1">
      <c r="A498" s="13"/>
      <c r="B498" s="13"/>
      <c r="C498" s="13"/>
      <c r="D498" s="13"/>
      <c r="E498" s="13"/>
      <c r="F498" s="13"/>
      <c r="G498" s="13"/>
    </row>
    <row r="499" spans="1:7" ht="16.5" customHeight="1">
      <c r="A499" s="13"/>
      <c r="B499" s="13"/>
      <c r="C499" s="13"/>
      <c r="D499" s="13"/>
      <c r="E499" s="13"/>
      <c r="F499" s="13"/>
      <c r="G499" s="13"/>
    </row>
    <row r="500" spans="1:7" ht="16.5" customHeight="1">
      <c r="A500" s="13"/>
      <c r="B500" s="13"/>
      <c r="C500" s="13"/>
      <c r="D500" s="13"/>
      <c r="E500" s="13"/>
      <c r="F500" s="13"/>
      <c r="G500" s="13"/>
    </row>
    <row r="501" spans="1:7" ht="16.5" customHeight="1">
      <c r="A501" s="13"/>
      <c r="B501" s="13"/>
      <c r="C501" s="13"/>
      <c r="D501" s="13"/>
      <c r="E501" s="13"/>
      <c r="F501" s="13"/>
      <c r="G501" s="13"/>
    </row>
    <row r="502" spans="1:7" ht="16.5" customHeight="1">
      <c r="A502" s="13"/>
      <c r="B502" s="13"/>
      <c r="C502" s="13"/>
      <c r="D502" s="13"/>
      <c r="E502" s="13"/>
      <c r="F502" s="13"/>
      <c r="G502" s="13"/>
    </row>
    <row r="503" spans="1:7" ht="16.5" customHeight="1">
      <c r="A503" s="13"/>
      <c r="B503" s="13"/>
      <c r="C503" s="13"/>
      <c r="D503" s="13"/>
      <c r="E503" s="13"/>
      <c r="F503" s="13"/>
      <c r="G503" s="13"/>
    </row>
    <row r="504" spans="1:7" ht="16.5" customHeight="1">
      <c r="A504" s="13"/>
      <c r="B504" s="13"/>
      <c r="C504" s="13"/>
      <c r="D504" s="13"/>
      <c r="E504" s="13"/>
      <c r="F504" s="13"/>
      <c r="G504" s="13"/>
    </row>
    <row r="505" spans="1:7" ht="16.5" customHeight="1">
      <c r="A505" s="13"/>
      <c r="B505" s="13"/>
      <c r="C505" s="13"/>
      <c r="D505" s="13"/>
      <c r="E505" s="13"/>
      <c r="F505" s="13"/>
      <c r="G505" s="13"/>
    </row>
    <row r="506" spans="1:7" ht="16.5" customHeight="1">
      <c r="A506" s="13"/>
      <c r="B506" s="13"/>
      <c r="C506" s="13"/>
      <c r="D506" s="13"/>
      <c r="E506" s="13"/>
      <c r="F506" s="13"/>
      <c r="G506" s="13"/>
    </row>
    <row r="507" spans="1:7" ht="16.5" customHeight="1">
      <c r="A507" s="13"/>
      <c r="B507" s="13"/>
      <c r="C507" s="13"/>
      <c r="D507" s="13"/>
      <c r="E507" s="13"/>
      <c r="F507" s="13"/>
      <c r="G507" s="13"/>
    </row>
    <row r="508" spans="1:7" ht="16.5" customHeight="1">
      <c r="A508" s="13"/>
      <c r="B508" s="13"/>
      <c r="C508" s="13"/>
      <c r="D508" s="13"/>
      <c r="E508" s="13"/>
      <c r="F508" s="13"/>
      <c r="G508" s="13"/>
    </row>
    <row r="509" spans="1:7" ht="16.5" customHeight="1">
      <c r="A509" s="13"/>
      <c r="B509" s="13"/>
      <c r="C509" s="13"/>
      <c r="D509" s="13"/>
      <c r="E509" s="13"/>
      <c r="F509" s="13"/>
      <c r="G509" s="13"/>
    </row>
    <row r="510" spans="1:7" ht="16.5" customHeight="1">
      <c r="A510" s="13"/>
      <c r="B510" s="13"/>
      <c r="C510" s="13"/>
      <c r="D510" s="13"/>
      <c r="E510" s="13"/>
      <c r="F510" s="13"/>
      <c r="G510" s="13"/>
    </row>
    <row r="511" spans="1:7" ht="16.5" customHeight="1">
      <c r="A511" s="13"/>
      <c r="B511" s="13"/>
      <c r="C511" s="13"/>
      <c r="D511" s="13"/>
      <c r="E511" s="13"/>
      <c r="F511" s="13"/>
      <c r="G511" s="13"/>
    </row>
    <row r="512" spans="1:7" ht="16.5" customHeight="1">
      <c r="A512" s="13"/>
      <c r="B512" s="13"/>
      <c r="C512" s="13"/>
      <c r="D512" s="13"/>
      <c r="E512" s="13"/>
      <c r="F512" s="13"/>
      <c r="G512" s="13"/>
    </row>
    <row r="513" spans="1:7" ht="16.5" customHeight="1">
      <c r="A513" s="13"/>
      <c r="B513" s="13"/>
      <c r="C513" s="13"/>
      <c r="D513" s="13"/>
      <c r="E513" s="13"/>
      <c r="F513" s="13"/>
      <c r="G513" s="13"/>
    </row>
    <row r="514" spans="1:7" ht="16.5" customHeight="1">
      <c r="A514" s="13"/>
      <c r="B514" s="13"/>
      <c r="C514" s="13"/>
      <c r="D514" s="13"/>
      <c r="E514" s="13"/>
      <c r="F514" s="13"/>
      <c r="G514" s="13"/>
    </row>
    <row r="515" spans="1:7" ht="16.5" customHeight="1">
      <c r="A515" s="13"/>
      <c r="B515" s="13"/>
      <c r="C515" s="13"/>
      <c r="D515" s="13"/>
      <c r="E515" s="13"/>
      <c r="F515" s="13"/>
      <c r="G515" s="13"/>
    </row>
    <row r="516" spans="1:7" ht="16.5" customHeight="1">
      <c r="A516" s="13"/>
      <c r="B516" s="13"/>
      <c r="C516" s="13"/>
      <c r="D516" s="13"/>
      <c r="E516" s="13"/>
      <c r="F516" s="13"/>
      <c r="G516" s="13"/>
    </row>
    <row r="517" spans="1:7" ht="16.5" customHeight="1">
      <c r="A517" s="13"/>
      <c r="B517" s="13"/>
      <c r="C517" s="13"/>
      <c r="D517" s="13"/>
      <c r="E517" s="13"/>
      <c r="F517" s="13"/>
      <c r="G517" s="13"/>
    </row>
    <row r="518" spans="1:7" ht="16.5" customHeight="1">
      <c r="A518" s="13"/>
      <c r="B518" s="13"/>
      <c r="C518" s="13"/>
      <c r="D518" s="13"/>
      <c r="E518" s="13"/>
      <c r="F518" s="13"/>
      <c r="G518" s="13"/>
    </row>
    <row r="519" spans="1:7" ht="16.5" customHeight="1">
      <c r="A519" s="13"/>
      <c r="B519" s="13"/>
      <c r="C519" s="13"/>
      <c r="D519" s="13"/>
      <c r="E519" s="13"/>
      <c r="F519" s="13"/>
      <c r="G519" s="13"/>
    </row>
    <row r="520" spans="1:7" ht="16.5" customHeight="1">
      <c r="A520" s="13"/>
      <c r="B520" s="13"/>
      <c r="C520" s="13"/>
      <c r="D520" s="13"/>
      <c r="E520" s="13"/>
      <c r="F520" s="13"/>
      <c r="G520" s="13"/>
    </row>
    <row r="521" spans="1:7" ht="16.5" customHeight="1">
      <c r="A521" s="13"/>
      <c r="B521" s="13"/>
      <c r="C521" s="13"/>
      <c r="D521" s="13"/>
      <c r="E521" s="13"/>
      <c r="F521" s="13"/>
      <c r="G521" s="13"/>
    </row>
    <row r="522" spans="1:7" ht="16.5" customHeight="1">
      <c r="A522" s="13"/>
      <c r="B522" s="13"/>
      <c r="C522" s="13"/>
      <c r="D522" s="13"/>
      <c r="E522" s="13"/>
      <c r="F522" s="13"/>
      <c r="G522" s="13"/>
    </row>
    <row r="523" spans="1:7" ht="16.5" customHeight="1">
      <c r="A523" s="13"/>
      <c r="B523" s="13"/>
      <c r="C523" s="13"/>
      <c r="D523" s="13"/>
      <c r="E523" s="13"/>
      <c r="F523" s="13"/>
      <c r="G523" s="13"/>
    </row>
    <row r="524" spans="1:7" ht="16.5" customHeight="1">
      <c r="A524" s="13"/>
      <c r="B524" s="13"/>
      <c r="C524" s="13"/>
      <c r="D524" s="13"/>
      <c r="E524" s="13"/>
      <c r="F524" s="13"/>
      <c r="G524" s="13"/>
    </row>
    <row r="525" spans="1:7" ht="16.5" customHeight="1">
      <c r="A525" s="13"/>
      <c r="B525" s="13"/>
      <c r="C525" s="13"/>
      <c r="D525" s="13"/>
      <c r="E525" s="13"/>
      <c r="F525" s="13"/>
      <c r="G525" s="13"/>
    </row>
    <row r="526" spans="1:7" ht="16.5" customHeight="1">
      <c r="A526" s="13"/>
      <c r="B526" s="13"/>
      <c r="C526" s="13"/>
      <c r="D526" s="13"/>
      <c r="E526" s="13"/>
      <c r="F526" s="13"/>
      <c r="G526" s="13"/>
    </row>
    <row r="527" spans="1:7" ht="16.5" customHeight="1">
      <c r="A527" s="13"/>
      <c r="B527" s="13"/>
      <c r="C527" s="13"/>
      <c r="D527" s="13"/>
      <c r="E527" s="13"/>
      <c r="F527" s="13"/>
      <c r="G527" s="13"/>
    </row>
    <row r="528" spans="1:7" ht="16.5" customHeight="1">
      <c r="A528" s="13"/>
      <c r="B528" s="13"/>
      <c r="C528" s="13"/>
      <c r="D528" s="13"/>
      <c r="E528" s="13"/>
      <c r="F528" s="13"/>
      <c r="G528" s="13"/>
    </row>
    <row r="529" spans="1:7" ht="16.5" customHeight="1">
      <c r="A529" s="13"/>
      <c r="B529" s="13"/>
      <c r="C529" s="13"/>
      <c r="D529" s="13"/>
      <c r="E529" s="13"/>
      <c r="F529" s="13"/>
      <c r="G529" s="13"/>
    </row>
    <row r="530" spans="1:7" ht="16.5" customHeight="1">
      <c r="A530" s="13"/>
      <c r="B530" s="13"/>
      <c r="C530" s="13"/>
      <c r="D530" s="13"/>
      <c r="E530" s="13"/>
      <c r="F530" s="13"/>
      <c r="G530" s="13"/>
    </row>
    <row r="531" spans="1:7" ht="16.5" customHeight="1">
      <c r="A531" s="13"/>
      <c r="B531" s="13"/>
      <c r="C531" s="13"/>
      <c r="D531" s="13"/>
      <c r="E531" s="13"/>
      <c r="F531" s="13"/>
      <c r="G531" s="13"/>
    </row>
    <row r="532" spans="1:7" ht="16.5" customHeight="1">
      <c r="A532" s="13"/>
      <c r="B532" s="13"/>
      <c r="C532" s="13"/>
      <c r="D532" s="13"/>
      <c r="E532" s="13"/>
      <c r="F532" s="13"/>
      <c r="G532" s="13"/>
    </row>
    <row r="533" spans="1:7" ht="16.5" customHeight="1">
      <c r="A533" s="13"/>
      <c r="B533" s="13"/>
      <c r="C533" s="13"/>
      <c r="D533" s="13"/>
      <c r="E533" s="13"/>
      <c r="F533" s="13"/>
      <c r="G533" s="13"/>
    </row>
    <row r="534" spans="1:7" ht="16.5" customHeight="1">
      <c r="A534" s="13"/>
      <c r="B534" s="13"/>
      <c r="C534" s="13"/>
      <c r="D534" s="13"/>
      <c r="E534" s="13"/>
      <c r="F534" s="13"/>
      <c r="G534" s="13"/>
    </row>
    <row r="535" spans="1:7" ht="16.5" customHeight="1">
      <c r="A535" s="13"/>
      <c r="B535" s="13"/>
      <c r="C535" s="13"/>
      <c r="D535" s="13"/>
      <c r="E535" s="13"/>
      <c r="F535" s="13"/>
      <c r="G535" s="13"/>
    </row>
    <row r="536" spans="1:7" ht="16.5" customHeight="1">
      <c r="A536" s="13"/>
      <c r="B536" s="13"/>
      <c r="C536" s="13"/>
      <c r="D536" s="13"/>
      <c r="E536" s="13"/>
      <c r="F536" s="13"/>
      <c r="G536" s="13"/>
    </row>
    <row r="537" spans="1:7" ht="16.5" customHeight="1">
      <c r="A537" s="13"/>
      <c r="B537" s="13"/>
      <c r="C537" s="13"/>
      <c r="D537" s="13"/>
      <c r="E537" s="13"/>
      <c r="F537" s="13"/>
      <c r="G537" s="13"/>
    </row>
    <row r="538" spans="1:7" ht="16.5" customHeight="1">
      <c r="A538" s="13"/>
      <c r="B538" s="13"/>
      <c r="C538" s="13"/>
      <c r="D538" s="13"/>
      <c r="E538" s="13"/>
      <c r="F538" s="13"/>
      <c r="G538" s="13"/>
    </row>
    <row r="539" spans="1:7" ht="16.5" customHeight="1">
      <c r="A539" s="13"/>
      <c r="B539" s="13"/>
      <c r="C539" s="13"/>
      <c r="D539" s="13"/>
      <c r="E539" s="13"/>
      <c r="F539" s="13"/>
      <c r="G539" s="13"/>
    </row>
    <row r="540" spans="1:7" ht="16.5" customHeight="1">
      <c r="A540" s="13"/>
      <c r="B540" s="13"/>
      <c r="C540" s="13"/>
      <c r="D540" s="13"/>
      <c r="E540" s="13"/>
      <c r="F540" s="13"/>
      <c r="G540" s="13"/>
    </row>
    <row r="541" spans="1:7" ht="16.5" customHeight="1">
      <c r="A541" s="13"/>
      <c r="B541" s="13"/>
      <c r="C541" s="13"/>
      <c r="D541" s="13"/>
      <c r="E541" s="13"/>
      <c r="F541" s="13"/>
      <c r="G541" s="13"/>
    </row>
    <row r="542" spans="1:7" ht="16.5" customHeight="1">
      <c r="A542" s="13"/>
      <c r="B542" s="13"/>
      <c r="C542" s="13"/>
      <c r="D542" s="13"/>
      <c r="E542" s="13"/>
      <c r="F542" s="13"/>
      <c r="G542" s="13"/>
    </row>
    <row r="543" spans="1:7" ht="16.5" customHeight="1">
      <c r="A543" s="13"/>
      <c r="B543" s="13"/>
      <c r="C543" s="13"/>
      <c r="D543" s="13"/>
      <c r="E543" s="13"/>
      <c r="F543" s="13"/>
      <c r="G543" s="13"/>
    </row>
    <row r="544" spans="1:7" ht="16.5" customHeight="1">
      <c r="A544" s="13"/>
      <c r="B544" s="13"/>
      <c r="C544" s="13"/>
      <c r="D544" s="13"/>
      <c r="E544" s="13"/>
      <c r="F544" s="13"/>
      <c r="G544" s="13"/>
    </row>
    <row r="545" spans="1:7" ht="16.5" customHeight="1">
      <c r="A545" s="13"/>
      <c r="B545" s="13"/>
      <c r="C545" s="13"/>
      <c r="D545" s="13"/>
      <c r="E545" s="13"/>
      <c r="F545" s="13"/>
      <c r="G545" s="13"/>
    </row>
    <row r="546" spans="1:7" ht="16.5" customHeight="1">
      <c r="A546" s="13"/>
      <c r="B546" s="13"/>
      <c r="C546" s="13"/>
      <c r="D546" s="13"/>
      <c r="E546" s="13"/>
      <c r="F546" s="13"/>
      <c r="G546" s="13"/>
    </row>
    <row r="547" spans="1:7" ht="16.5" customHeight="1">
      <c r="A547" s="13"/>
      <c r="B547" s="13"/>
      <c r="C547" s="13"/>
      <c r="D547" s="13"/>
      <c r="E547" s="13"/>
      <c r="F547" s="13"/>
      <c r="G547" s="13"/>
    </row>
    <row r="548" spans="1:7" ht="16.5" customHeight="1">
      <c r="A548" s="13"/>
      <c r="B548" s="13"/>
      <c r="C548" s="13"/>
      <c r="D548" s="13"/>
      <c r="E548" s="13"/>
      <c r="F548" s="13"/>
      <c r="G548" s="13"/>
    </row>
    <row r="549" spans="1:7" ht="16.5" customHeight="1">
      <c r="A549" s="13"/>
      <c r="B549" s="13"/>
      <c r="C549" s="13"/>
      <c r="D549" s="13"/>
      <c r="E549" s="13"/>
      <c r="F549" s="13"/>
      <c r="G549" s="13"/>
    </row>
    <row r="550" spans="1:7" ht="16.5" customHeight="1">
      <c r="A550" s="13"/>
      <c r="B550" s="13"/>
      <c r="C550" s="13"/>
      <c r="D550" s="13"/>
      <c r="E550" s="13"/>
      <c r="F550" s="13"/>
      <c r="G550" s="13"/>
    </row>
    <row r="551" spans="1:7" ht="16.5" customHeight="1">
      <c r="A551" s="13"/>
      <c r="B551" s="13"/>
      <c r="C551" s="13"/>
      <c r="D551" s="13"/>
      <c r="E551" s="13"/>
      <c r="F551" s="13"/>
      <c r="G551" s="13"/>
    </row>
    <row r="552" spans="1:7" ht="16.5" customHeight="1">
      <c r="A552" s="13"/>
      <c r="B552" s="13"/>
      <c r="C552" s="13"/>
      <c r="D552" s="13"/>
      <c r="E552" s="13"/>
      <c r="F552" s="13"/>
      <c r="G552" s="13"/>
    </row>
    <row r="553" spans="1:7" ht="16.5" customHeight="1">
      <c r="A553" s="13"/>
      <c r="B553" s="13"/>
      <c r="C553" s="13"/>
      <c r="D553" s="13"/>
      <c r="E553" s="13"/>
      <c r="F553" s="13"/>
      <c r="G553" s="13"/>
    </row>
    <row r="554" spans="1:7" ht="16.5" customHeight="1">
      <c r="A554" s="13"/>
      <c r="B554" s="13"/>
      <c r="C554" s="13"/>
      <c r="D554" s="13"/>
      <c r="E554" s="13"/>
      <c r="F554" s="13"/>
      <c r="G554" s="13"/>
    </row>
    <row r="555" spans="1:7" ht="16.5" customHeight="1">
      <c r="A555" s="13"/>
      <c r="B555" s="13"/>
      <c r="C555" s="13"/>
      <c r="D555" s="13"/>
      <c r="E555" s="13"/>
      <c r="F555" s="13"/>
      <c r="G555" s="13"/>
    </row>
    <row r="556" spans="1:7" ht="16.5" customHeight="1">
      <c r="A556" s="13"/>
      <c r="B556" s="13"/>
      <c r="C556" s="13"/>
      <c r="D556" s="13"/>
      <c r="E556" s="13"/>
      <c r="F556" s="13"/>
      <c r="G556" s="13"/>
    </row>
    <row r="557" spans="1:7" ht="16.5" customHeight="1">
      <c r="A557" s="13"/>
      <c r="B557" s="13"/>
      <c r="C557" s="13"/>
      <c r="D557" s="13"/>
      <c r="E557" s="13"/>
      <c r="F557" s="13"/>
      <c r="G557" s="13"/>
    </row>
    <row r="558" spans="1:7" ht="16.5" customHeight="1">
      <c r="A558" s="13"/>
      <c r="B558" s="13"/>
      <c r="C558" s="13"/>
      <c r="D558" s="13"/>
      <c r="E558" s="13"/>
      <c r="F558" s="13"/>
      <c r="G558" s="13"/>
    </row>
    <row r="559" spans="1:7" ht="16.5" customHeight="1">
      <c r="A559" s="13"/>
      <c r="B559" s="13"/>
      <c r="C559" s="13"/>
      <c r="D559" s="13"/>
      <c r="E559" s="13"/>
      <c r="F559" s="13"/>
      <c r="G559" s="13"/>
    </row>
    <row r="560" spans="1:7" ht="16.5" customHeight="1">
      <c r="A560" s="13"/>
      <c r="B560" s="13"/>
      <c r="C560" s="13"/>
      <c r="D560" s="13"/>
      <c r="E560" s="13"/>
      <c r="F560" s="13"/>
      <c r="G560" s="13"/>
    </row>
    <row r="561" spans="1:7" ht="16.5" customHeight="1">
      <c r="A561" s="13"/>
      <c r="B561" s="13"/>
      <c r="C561" s="13"/>
      <c r="D561" s="13"/>
      <c r="E561" s="13"/>
      <c r="F561" s="13"/>
      <c r="G561" s="13"/>
    </row>
    <row r="562" spans="1:7" ht="16.5" customHeight="1">
      <c r="A562" s="13"/>
      <c r="B562" s="13"/>
      <c r="C562" s="13"/>
      <c r="D562" s="13"/>
      <c r="E562" s="13"/>
      <c r="F562" s="13"/>
      <c r="G562" s="13"/>
    </row>
    <row r="563" spans="1:7" ht="16.5" customHeight="1">
      <c r="A563" s="13"/>
      <c r="B563" s="13"/>
      <c r="C563" s="13"/>
      <c r="D563" s="13"/>
      <c r="E563" s="13"/>
      <c r="F563" s="13"/>
      <c r="G563" s="13"/>
    </row>
    <row r="564" spans="1:7" ht="16.5" customHeight="1">
      <c r="A564" s="13"/>
      <c r="B564" s="13"/>
      <c r="C564" s="13"/>
      <c r="D564" s="13"/>
      <c r="E564" s="13"/>
      <c r="F564" s="13"/>
      <c r="G564" s="13"/>
    </row>
    <row r="565" spans="1:7" ht="16.5" customHeight="1">
      <c r="A565" s="13"/>
      <c r="B565" s="13"/>
      <c r="C565" s="13"/>
      <c r="D565" s="13"/>
      <c r="E565" s="13"/>
      <c r="F565" s="13"/>
      <c r="G565" s="13"/>
    </row>
    <row r="566" spans="1:7" ht="16.5" customHeight="1">
      <c r="A566" s="13"/>
      <c r="B566" s="13"/>
      <c r="C566" s="13"/>
      <c r="D566" s="13"/>
      <c r="E566" s="13"/>
      <c r="F566" s="13"/>
      <c r="G566" s="13"/>
    </row>
    <row r="567" spans="1:7" ht="16.5" customHeight="1">
      <c r="A567" s="13"/>
      <c r="B567" s="13"/>
      <c r="C567" s="13"/>
      <c r="D567" s="13"/>
      <c r="E567" s="13"/>
      <c r="F567" s="13"/>
      <c r="G567" s="13"/>
    </row>
    <row r="568" spans="1:7" ht="16.5" customHeight="1">
      <c r="A568" s="13"/>
      <c r="B568" s="13"/>
      <c r="C568" s="13"/>
      <c r="D568" s="13"/>
      <c r="E568" s="13"/>
      <c r="F568" s="13"/>
      <c r="G568" s="13"/>
    </row>
    <row r="569" spans="1:7" ht="16.5" customHeight="1">
      <c r="A569" s="13"/>
      <c r="B569" s="13"/>
      <c r="C569" s="13"/>
      <c r="D569" s="13"/>
      <c r="E569" s="13"/>
      <c r="F569" s="13"/>
      <c r="G569" s="13"/>
    </row>
    <row r="570" spans="1:7" ht="16.5" customHeight="1">
      <c r="A570" s="13"/>
      <c r="B570" s="13"/>
      <c r="C570" s="13"/>
      <c r="D570" s="13"/>
      <c r="E570" s="13"/>
      <c r="F570" s="13"/>
      <c r="G570" s="13"/>
    </row>
    <row r="571" spans="1:7" ht="16.5" customHeight="1">
      <c r="A571" s="13"/>
      <c r="B571" s="13"/>
      <c r="C571" s="13"/>
      <c r="D571" s="13"/>
      <c r="E571" s="13"/>
      <c r="F571" s="13"/>
      <c r="G571" s="13"/>
    </row>
    <row r="572" spans="1:7" ht="16.5" customHeight="1">
      <c r="A572" s="13"/>
      <c r="B572" s="13"/>
      <c r="C572" s="13"/>
      <c r="D572" s="13"/>
      <c r="E572" s="13"/>
      <c r="F572" s="13"/>
      <c r="G572" s="13"/>
    </row>
    <row r="573" spans="1:7" ht="16.5" customHeight="1">
      <c r="A573" s="13"/>
      <c r="B573" s="13"/>
      <c r="C573" s="13"/>
      <c r="D573" s="13"/>
      <c r="E573" s="13"/>
      <c r="F573" s="13"/>
      <c r="G573" s="13"/>
    </row>
    <row r="574" spans="1:7" ht="16.5" customHeight="1">
      <c r="A574" s="13"/>
      <c r="B574" s="13"/>
      <c r="C574" s="13"/>
      <c r="D574" s="13"/>
      <c r="E574" s="13"/>
      <c r="F574" s="13"/>
      <c r="G574" s="13"/>
    </row>
    <row r="575" spans="1:7" ht="16.5" customHeight="1">
      <c r="A575" s="13"/>
      <c r="B575" s="13"/>
      <c r="C575" s="13"/>
      <c r="D575" s="13"/>
      <c r="E575" s="13"/>
      <c r="F575" s="13"/>
      <c r="G575" s="13"/>
    </row>
    <row r="576" spans="1:7" ht="16.5" customHeight="1">
      <c r="A576" s="13"/>
      <c r="B576" s="13"/>
      <c r="C576" s="13"/>
      <c r="D576" s="13"/>
      <c r="E576" s="13"/>
      <c r="F576" s="13"/>
      <c r="G576" s="13"/>
    </row>
    <row r="577" spans="1:7" ht="16.5" customHeight="1">
      <c r="A577" s="13"/>
      <c r="B577" s="13"/>
      <c r="C577" s="13"/>
      <c r="D577" s="13"/>
      <c r="E577" s="13"/>
      <c r="F577" s="13"/>
      <c r="G577" s="13"/>
    </row>
    <row r="578" spans="1:7" ht="16.5" customHeight="1">
      <c r="A578" s="13"/>
      <c r="B578" s="13"/>
      <c r="C578" s="13"/>
      <c r="D578" s="13"/>
      <c r="E578" s="13"/>
      <c r="F578" s="13"/>
      <c r="G578" s="13"/>
    </row>
    <row r="579" spans="1:7" ht="16.5" customHeight="1">
      <c r="A579" s="13"/>
      <c r="B579" s="13"/>
      <c r="C579" s="13"/>
      <c r="D579" s="13"/>
      <c r="E579" s="13"/>
      <c r="F579" s="13"/>
      <c r="G579" s="13"/>
    </row>
    <row r="580" spans="1:7" ht="16.5" customHeight="1">
      <c r="A580" s="13"/>
      <c r="B580" s="13"/>
      <c r="C580" s="13"/>
      <c r="D580" s="13"/>
      <c r="E580" s="13"/>
      <c r="F580" s="13"/>
      <c r="G580" s="13"/>
    </row>
    <row r="581" spans="1:7" ht="16.5" customHeight="1">
      <c r="A581" s="13"/>
      <c r="B581" s="13"/>
      <c r="C581" s="13"/>
      <c r="D581" s="13"/>
      <c r="E581" s="13"/>
      <c r="F581" s="13"/>
      <c r="G581" s="13"/>
    </row>
    <row r="582" spans="1:7" ht="16.5" customHeight="1">
      <c r="A582" s="13"/>
      <c r="B582" s="13"/>
      <c r="C582" s="13"/>
      <c r="D582" s="13"/>
      <c r="E582" s="13"/>
      <c r="F582" s="13"/>
      <c r="G582" s="13"/>
    </row>
    <row r="583" spans="1:7" ht="16.5" customHeight="1">
      <c r="A583" s="13"/>
      <c r="B583" s="13"/>
      <c r="C583" s="13"/>
      <c r="D583" s="13"/>
      <c r="E583" s="13"/>
      <c r="F583" s="13"/>
      <c r="G583" s="13"/>
    </row>
    <row r="584" spans="1:7" ht="16.5" customHeight="1">
      <c r="A584" s="13"/>
      <c r="B584" s="13"/>
      <c r="C584" s="13"/>
      <c r="D584" s="13"/>
      <c r="E584" s="13"/>
      <c r="F584" s="13"/>
      <c r="G584" s="13"/>
    </row>
    <row r="585" spans="1:7" ht="16.5" customHeight="1">
      <c r="A585" s="13"/>
      <c r="B585" s="13"/>
      <c r="C585" s="13"/>
      <c r="D585" s="13"/>
      <c r="E585" s="13"/>
      <c r="F585" s="13"/>
      <c r="G585" s="13"/>
    </row>
    <row r="586" spans="1:7" ht="16.5" customHeight="1">
      <c r="A586" s="13"/>
      <c r="B586" s="13"/>
      <c r="C586" s="13"/>
      <c r="D586" s="13"/>
      <c r="E586" s="13"/>
      <c r="F586" s="13"/>
      <c r="G586" s="13"/>
    </row>
    <row r="587" spans="1:7" ht="16.5" customHeight="1">
      <c r="A587" s="13"/>
      <c r="B587" s="13"/>
      <c r="C587" s="13"/>
      <c r="D587" s="13"/>
      <c r="E587" s="13"/>
      <c r="F587" s="13"/>
      <c r="G587" s="13"/>
    </row>
    <row r="588" spans="1:7" ht="16.5" customHeight="1">
      <c r="A588" s="13"/>
      <c r="B588" s="13"/>
      <c r="C588" s="13"/>
      <c r="D588" s="13"/>
      <c r="E588" s="13"/>
      <c r="F588" s="13"/>
      <c r="G588" s="13"/>
    </row>
    <row r="589" spans="1:7" ht="16.5" customHeight="1">
      <c r="A589" s="13"/>
      <c r="B589" s="13"/>
      <c r="C589" s="13"/>
      <c r="D589" s="13"/>
      <c r="E589" s="13"/>
      <c r="F589" s="13"/>
      <c r="G589" s="13"/>
    </row>
    <row r="590" spans="1:7" ht="16.5" customHeight="1">
      <c r="A590" s="13"/>
      <c r="B590" s="13"/>
      <c r="C590" s="13"/>
      <c r="D590" s="13"/>
      <c r="E590" s="13"/>
      <c r="F590" s="13"/>
      <c r="G590" s="13"/>
    </row>
    <row r="591" spans="1:7" ht="16.5" customHeight="1">
      <c r="A591" s="13"/>
      <c r="B591" s="13"/>
      <c r="C591" s="13"/>
      <c r="D591" s="13"/>
      <c r="E591" s="13"/>
      <c r="F591" s="13"/>
      <c r="G591" s="13"/>
    </row>
    <row r="592" spans="1:7" ht="16.5" customHeight="1">
      <c r="A592" s="13"/>
      <c r="B592" s="13"/>
      <c r="C592" s="13"/>
      <c r="D592" s="13"/>
      <c r="E592" s="13"/>
      <c r="F592" s="13"/>
      <c r="G592" s="13"/>
    </row>
    <row r="593" spans="1:7" ht="16.5" customHeight="1">
      <c r="A593" s="13"/>
      <c r="B593" s="13"/>
      <c r="C593" s="13"/>
      <c r="D593" s="13"/>
      <c r="E593" s="13"/>
      <c r="F593" s="13"/>
      <c r="G593" s="13"/>
    </row>
    <row r="594" spans="1:7" ht="16.5" customHeight="1">
      <c r="A594" s="13"/>
      <c r="B594" s="13"/>
      <c r="C594" s="13"/>
      <c r="D594" s="13"/>
      <c r="E594" s="13"/>
      <c r="F594" s="13"/>
      <c r="G594" s="13"/>
    </row>
    <row r="595" spans="1:7" ht="16.5" customHeight="1">
      <c r="A595" s="13"/>
      <c r="B595" s="13"/>
      <c r="C595" s="13"/>
      <c r="D595" s="13"/>
      <c r="E595" s="13"/>
      <c r="F595" s="13"/>
      <c r="G595" s="13"/>
    </row>
    <row r="596" spans="1:7" ht="16.5" customHeight="1">
      <c r="A596" s="13"/>
      <c r="B596" s="13"/>
      <c r="C596" s="13"/>
      <c r="D596" s="13"/>
      <c r="E596" s="13"/>
      <c r="F596" s="13"/>
      <c r="G596" s="13"/>
    </row>
    <row r="597" spans="1:7" ht="16.5" customHeight="1">
      <c r="A597" s="13"/>
      <c r="B597" s="13"/>
      <c r="C597" s="13"/>
      <c r="D597" s="13"/>
      <c r="E597" s="13"/>
      <c r="F597" s="13"/>
      <c r="G597" s="13"/>
    </row>
    <row r="598" spans="1:7" ht="16.5" customHeight="1">
      <c r="A598" s="13"/>
      <c r="B598" s="13"/>
      <c r="C598" s="13"/>
      <c r="D598" s="13"/>
      <c r="E598" s="13"/>
      <c r="F598" s="13"/>
      <c r="G598" s="13"/>
    </row>
    <row r="599" spans="1:7" ht="16.5" customHeight="1">
      <c r="A599" s="13"/>
      <c r="B599" s="13"/>
      <c r="C599" s="13"/>
      <c r="D599" s="13"/>
      <c r="E599" s="13"/>
      <c r="F599" s="13"/>
      <c r="G599" s="13"/>
    </row>
    <row r="600" spans="1:7" ht="16.5" customHeight="1">
      <c r="A600" s="13"/>
      <c r="B600" s="13"/>
      <c r="C600" s="13"/>
      <c r="D600" s="13"/>
      <c r="E600" s="13"/>
      <c r="F600" s="13"/>
      <c r="G600" s="13"/>
    </row>
    <row r="601" spans="1:7" ht="16.5" customHeight="1">
      <c r="A601" s="13"/>
      <c r="B601" s="13"/>
      <c r="C601" s="13"/>
      <c r="D601" s="13"/>
      <c r="E601" s="13"/>
      <c r="F601" s="13"/>
      <c r="G601" s="13"/>
    </row>
    <row r="602" spans="1:7" ht="16.5" customHeight="1">
      <c r="A602" s="13"/>
      <c r="B602" s="13"/>
      <c r="C602" s="13"/>
      <c r="D602" s="13"/>
      <c r="E602" s="13"/>
      <c r="F602" s="13"/>
      <c r="G602" s="13"/>
    </row>
    <row r="603" spans="1:7" ht="16.5" customHeight="1">
      <c r="A603" s="13"/>
      <c r="B603" s="13"/>
      <c r="C603" s="13"/>
      <c r="D603" s="13"/>
      <c r="E603" s="13"/>
      <c r="F603" s="13"/>
      <c r="G603" s="13"/>
    </row>
    <row r="604" spans="1:7" ht="16.5" customHeight="1">
      <c r="A604" s="13"/>
      <c r="B604" s="13"/>
      <c r="C604" s="13"/>
      <c r="D604" s="13"/>
      <c r="E604" s="13"/>
      <c r="F604" s="13"/>
      <c r="G604" s="13"/>
    </row>
    <row r="605" spans="1:7" ht="16.5" customHeight="1">
      <c r="A605" s="13"/>
      <c r="B605" s="13"/>
      <c r="C605" s="13"/>
      <c r="D605" s="13"/>
      <c r="E605" s="13"/>
      <c r="F605" s="13"/>
      <c r="G605" s="13"/>
    </row>
    <row r="606" spans="1:7" ht="16.5" customHeight="1">
      <c r="A606" s="13"/>
      <c r="B606" s="13"/>
      <c r="C606" s="13"/>
      <c r="D606" s="13"/>
      <c r="E606" s="13"/>
      <c r="F606" s="13"/>
      <c r="G606" s="13"/>
    </row>
    <row r="607" spans="1:7" ht="16.5" customHeight="1">
      <c r="A607" s="13"/>
      <c r="B607" s="13"/>
      <c r="C607" s="13"/>
      <c r="D607" s="13"/>
      <c r="E607" s="13"/>
      <c r="F607" s="13"/>
      <c r="G607" s="13"/>
    </row>
    <row r="608" spans="1:7" ht="16.5" customHeight="1">
      <c r="A608" s="13"/>
      <c r="B608" s="13"/>
      <c r="C608" s="13"/>
      <c r="D608" s="13"/>
      <c r="E608" s="13"/>
      <c r="F608" s="13"/>
      <c r="G608" s="13"/>
    </row>
    <row r="609" spans="1:7" ht="16.5" customHeight="1">
      <c r="A609" s="13"/>
      <c r="B609" s="13"/>
      <c r="C609" s="13"/>
      <c r="D609" s="13"/>
      <c r="E609" s="13"/>
      <c r="F609" s="13"/>
      <c r="G609" s="13"/>
    </row>
    <row r="610" spans="1:7" ht="16.5" customHeight="1">
      <c r="A610" s="13"/>
      <c r="B610" s="13"/>
      <c r="C610" s="13"/>
      <c r="D610" s="13"/>
      <c r="E610" s="13"/>
      <c r="F610" s="13"/>
      <c r="G610" s="13"/>
    </row>
    <row r="611" spans="1:7" ht="16.5" customHeight="1">
      <c r="A611" s="13"/>
      <c r="B611" s="13"/>
      <c r="C611" s="13"/>
      <c r="D611" s="13"/>
      <c r="E611" s="13"/>
      <c r="F611" s="13"/>
      <c r="G611" s="13"/>
    </row>
    <row r="612" spans="1:7" ht="16.5" customHeight="1">
      <c r="A612" s="13"/>
      <c r="B612" s="13"/>
      <c r="C612" s="13"/>
      <c r="D612" s="13"/>
      <c r="E612" s="13"/>
      <c r="F612" s="13"/>
      <c r="G612" s="13"/>
    </row>
    <row r="613" spans="1:7" ht="16.5" customHeight="1">
      <c r="A613" s="13"/>
      <c r="B613" s="13"/>
      <c r="C613" s="13"/>
      <c r="D613" s="13"/>
      <c r="E613" s="13"/>
      <c r="F613" s="13"/>
      <c r="G613" s="13"/>
    </row>
    <row r="614" spans="1:7" ht="16.5" customHeight="1">
      <c r="A614" s="13"/>
      <c r="B614" s="13"/>
      <c r="C614" s="13"/>
      <c r="D614" s="13"/>
      <c r="E614" s="13"/>
      <c r="F614" s="13"/>
      <c r="G614" s="13"/>
    </row>
    <row r="615" spans="1:7" ht="16.5" customHeight="1">
      <c r="A615" s="13"/>
      <c r="B615" s="13"/>
      <c r="C615" s="13"/>
      <c r="D615" s="13"/>
      <c r="E615" s="13"/>
      <c r="F615" s="13"/>
      <c r="G615" s="13"/>
    </row>
    <row r="616" spans="1:7" ht="16.5" customHeight="1">
      <c r="A616" s="13"/>
      <c r="B616" s="13"/>
      <c r="C616" s="13"/>
      <c r="D616" s="13"/>
      <c r="E616" s="13"/>
      <c r="F616" s="13"/>
      <c r="G616" s="13"/>
    </row>
    <row r="617" spans="1:7" ht="16.5" customHeight="1">
      <c r="A617" s="13"/>
      <c r="B617" s="13"/>
      <c r="C617" s="13"/>
      <c r="D617" s="13"/>
      <c r="E617" s="13"/>
      <c r="F617" s="13"/>
      <c r="G617" s="13"/>
    </row>
    <row r="618" spans="1:7" ht="16.5" customHeight="1">
      <c r="A618" s="13"/>
      <c r="B618" s="13"/>
      <c r="C618" s="13"/>
      <c r="D618" s="13"/>
      <c r="E618" s="13"/>
      <c r="F618" s="13"/>
      <c r="G618" s="13"/>
    </row>
    <row r="619" spans="1:7" ht="16.5" customHeight="1">
      <c r="A619" s="13"/>
      <c r="B619" s="13"/>
      <c r="C619" s="13"/>
      <c r="D619" s="13"/>
      <c r="E619" s="13"/>
      <c r="F619" s="13"/>
      <c r="G619" s="13"/>
    </row>
    <row r="620" spans="1:7" ht="16.5" customHeight="1">
      <c r="A620" s="13"/>
      <c r="B620" s="13"/>
      <c r="C620" s="13"/>
      <c r="D620" s="13"/>
      <c r="E620" s="13"/>
      <c r="F620" s="13"/>
      <c r="G620" s="13"/>
    </row>
    <row r="621" spans="1:7" ht="16.5" customHeight="1">
      <c r="A621" s="13"/>
      <c r="B621" s="13"/>
      <c r="C621" s="13"/>
      <c r="D621" s="13"/>
      <c r="E621" s="13"/>
      <c r="F621" s="13"/>
      <c r="G621" s="13"/>
    </row>
    <row r="622" spans="1:7" ht="16.5" customHeight="1">
      <c r="A622" s="13"/>
      <c r="B622" s="13"/>
      <c r="C622" s="13"/>
      <c r="D622" s="13"/>
      <c r="E622" s="13"/>
      <c r="F622" s="13"/>
      <c r="G622" s="13"/>
    </row>
    <row r="623" spans="1:7" ht="16.5" customHeight="1">
      <c r="A623" s="13"/>
      <c r="B623" s="13"/>
      <c r="C623" s="13"/>
      <c r="D623" s="13"/>
      <c r="E623" s="13"/>
      <c r="F623" s="13"/>
      <c r="G623" s="13"/>
    </row>
    <row r="624" spans="1:7" ht="16.5" customHeight="1">
      <c r="A624" s="13"/>
      <c r="B624" s="13"/>
      <c r="C624" s="13"/>
      <c r="D624" s="13"/>
      <c r="E624" s="13"/>
      <c r="F624" s="13"/>
      <c r="G624" s="13"/>
    </row>
    <row r="625" spans="1:7" ht="16.5" customHeight="1">
      <c r="A625" s="13"/>
      <c r="B625" s="13"/>
      <c r="C625" s="13"/>
      <c r="D625" s="13"/>
      <c r="E625" s="13"/>
      <c r="F625" s="13"/>
      <c r="G625" s="13"/>
    </row>
    <row r="626" spans="1:7" ht="16.5" customHeight="1">
      <c r="A626" s="13"/>
      <c r="B626" s="13"/>
      <c r="C626" s="13"/>
      <c r="D626" s="13"/>
      <c r="E626" s="13"/>
      <c r="F626" s="13"/>
      <c r="G626" s="13"/>
    </row>
    <row r="627" spans="1:7" ht="16.5" customHeight="1">
      <c r="A627" s="13"/>
      <c r="B627" s="13"/>
      <c r="C627" s="13"/>
      <c r="D627" s="13"/>
      <c r="E627" s="13"/>
      <c r="F627" s="13"/>
      <c r="G627" s="13"/>
    </row>
    <row r="628" spans="1:7" ht="16.5" customHeight="1">
      <c r="A628" s="13"/>
      <c r="B628" s="13"/>
      <c r="C628" s="13"/>
      <c r="D628" s="13"/>
      <c r="E628" s="13"/>
      <c r="F628" s="13"/>
      <c r="G628" s="13"/>
    </row>
    <row r="629" spans="1:7" ht="16.5" customHeight="1">
      <c r="A629" s="13"/>
      <c r="B629" s="13"/>
      <c r="C629" s="13"/>
      <c r="D629" s="13"/>
      <c r="E629" s="13"/>
      <c r="F629" s="13"/>
      <c r="G629" s="13"/>
    </row>
    <row r="630" spans="1:7" ht="16.5" customHeight="1">
      <c r="A630" s="13"/>
      <c r="B630" s="13"/>
      <c r="C630" s="13"/>
      <c r="D630" s="13"/>
      <c r="E630" s="13"/>
      <c r="F630" s="13"/>
      <c r="G630" s="13"/>
    </row>
    <row r="631" spans="1:7" ht="16.5" customHeight="1">
      <c r="A631" s="13"/>
      <c r="B631" s="13"/>
      <c r="C631" s="13"/>
      <c r="D631" s="13"/>
      <c r="E631" s="13"/>
      <c r="F631" s="13"/>
      <c r="G631" s="13"/>
    </row>
    <row r="632" spans="1:7" ht="16.5" customHeight="1">
      <c r="A632" s="13"/>
      <c r="B632" s="13"/>
      <c r="C632" s="13"/>
      <c r="D632" s="13"/>
      <c r="E632" s="13"/>
      <c r="F632" s="13"/>
      <c r="G632" s="13"/>
    </row>
    <row r="633" spans="1:7" ht="16.5" customHeight="1">
      <c r="A633" s="13"/>
      <c r="B633" s="13"/>
      <c r="C633" s="13"/>
      <c r="D633" s="13"/>
      <c r="E633" s="13"/>
      <c r="F633" s="13"/>
      <c r="G633" s="13"/>
    </row>
    <row r="634" spans="1:7" ht="16.5" customHeight="1">
      <c r="A634" s="13"/>
      <c r="B634" s="13"/>
      <c r="C634" s="13"/>
      <c r="D634" s="13"/>
      <c r="E634" s="13"/>
      <c r="F634" s="13"/>
      <c r="G634" s="13"/>
    </row>
    <row r="635" spans="1:7" ht="16.5" customHeight="1">
      <c r="A635" s="13"/>
      <c r="B635" s="13"/>
      <c r="C635" s="13"/>
      <c r="D635" s="13"/>
      <c r="E635" s="13"/>
      <c r="F635" s="13"/>
      <c r="G635" s="13"/>
    </row>
    <row r="636" spans="1:7" ht="16.5" customHeight="1">
      <c r="A636" s="13"/>
      <c r="B636" s="13"/>
      <c r="C636" s="13"/>
      <c r="D636" s="13"/>
      <c r="E636" s="13"/>
      <c r="F636" s="13"/>
      <c r="G636" s="13"/>
    </row>
    <row r="637" spans="1:7" ht="16.5" customHeight="1">
      <c r="A637" s="13"/>
      <c r="B637" s="13"/>
      <c r="C637" s="13"/>
      <c r="D637" s="13"/>
      <c r="E637" s="13"/>
      <c r="F637" s="13"/>
      <c r="G637" s="13"/>
    </row>
    <row r="638" spans="1:7" ht="16.5" customHeight="1">
      <c r="A638" s="13"/>
      <c r="B638" s="13"/>
      <c r="C638" s="13"/>
      <c r="D638" s="13"/>
      <c r="E638" s="13"/>
      <c r="F638" s="13"/>
      <c r="G638" s="13"/>
    </row>
    <row r="639" spans="1:7" ht="16.5" customHeight="1">
      <c r="A639" s="13"/>
      <c r="B639" s="13"/>
      <c r="C639" s="13"/>
      <c r="D639" s="13"/>
      <c r="E639" s="13"/>
      <c r="F639" s="13"/>
      <c r="G639" s="13"/>
    </row>
    <row r="640" spans="1:7" ht="16.5" customHeight="1">
      <c r="A640" s="13"/>
      <c r="B640" s="13"/>
      <c r="C640" s="13"/>
      <c r="D640" s="13"/>
      <c r="E640" s="13"/>
      <c r="F640" s="13"/>
      <c r="G640" s="13"/>
    </row>
    <row r="641" spans="1:7" ht="16.5" customHeight="1">
      <c r="A641" s="13"/>
      <c r="B641" s="13"/>
      <c r="C641" s="13"/>
      <c r="D641" s="13"/>
      <c r="E641" s="13"/>
      <c r="F641" s="13"/>
      <c r="G641" s="13"/>
    </row>
    <row r="642" spans="1:7" ht="16.5" customHeight="1">
      <c r="A642" s="13"/>
      <c r="B642" s="13"/>
      <c r="C642" s="13"/>
      <c r="D642" s="13"/>
      <c r="E642" s="13"/>
      <c r="F642" s="13"/>
      <c r="G642" s="13"/>
    </row>
    <row r="643" spans="1:7" ht="16.5" customHeight="1">
      <c r="A643" s="13"/>
      <c r="B643" s="13"/>
      <c r="C643" s="13"/>
      <c r="D643" s="13"/>
      <c r="E643" s="13"/>
      <c r="F643" s="13"/>
      <c r="G643" s="13"/>
    </row>
    <row r="644" spans="1:7" ht="16.5" customHeight="1">
      <c r="A644" s="13"/>
      <c r="B644" s="13"/>
      <c r="C644" s="13"/>
      <c r="D644" s="13"/>
      <c r="E644" s="13"/>
      <c r="F644" s="13"/>
      <c r="G644" s="13"/>
    </row>
    <row r="645" spans="1:7" ht="16.5" customHeight="1">
      <c r="A645" s="13"/>
      <c r="B645" s="13"/>
      <c r="C645" s="13"/>
      <c r="D645" s="13"/>
      <c r="E645" s="13"/>
      <c r="F645" s="13"/>
      <c r="G645" s="13"/>
    </row>
    <row r="646" spans="1:7" ht="16.5" customHeight="1">
      <c r="A646" s="13"/>
      <c r="B646" s="13"/>
      <c r="C646" s="13"/>
      <c r="D646" s="13"/>
      <c r="E646" s="13"/>
      <c r="F646" s="13"/>
      <c r="G646" s="13"/>
    </row>
    <row r="647" spans="1:7" ht="16.5" customHeight="1">
      <c r="A647" s="13"/>
      <c r="B647" s="13"/>
      <c r="C647" s="13"/>
      <c r="D647" s="13"/>
      <c r="E647" s="13"/>
      <c r="F647" s="13"/>
      <c r="G647" s="13"/>
    </row>
    <row r="648" spans="1:7" ht="16.5" customHeight="1">
      <c r="A648" s="13"/>
      <c r="B648" s="13"/>
      <c r="C648" s="13"/>
      <c r="D648" s="13"/>
      <c r="E648" s="13"/>
      <c r="F648" s="13"/>
      <c r="G648" s="13"/>
    </row>
    <row r="649" spans="1:7" ht="16.5" customHeight="1">
      <c r="A649" s="13"/>
      <c r="B649" s="13"/>
      <c r="C649" s="13"/>
      <c r="D649" s="13"/>
      <c r="E649" s="13"/>
      <c r="F649" s="13"/>
      <c r="G649" s="13"/>
    </row>
    <row r="650" spans="1:7" ht="16.5" customHeight="1">
      <c r="A650" s="13"/>
      <c r="B650" s="13"/>
      <c r="C650" s="13"/>
      <c r="D650" s="13"/>
      <c r="E650" s="13"/>
      <c r="F650" s="13"/>
      <c r="G650" s="13"/>
    </row>
    <row r="651" spans="1:7" ht="16.5" customHeight="1">
      <c r="A651" s="13"/>
      <c r="B651" s="13"/>
      <c r="C651" s="13"/>
      <c r="D651" s="13"/>
      <c r="E651" s="13"/>
      <c r="F651" s="13"/>
      <c r="G651" s="13"/>
    </row>
    <row r="652" spans="1:7" ht="16.5" customHeight="1">
      <c r="A652" s="13"/>
      <c r="B652" s="13"/>
      <c r="C652" s="13"/>
      <c r="D652" s="13"/>
      <c r="E652" s="13"/>
      <c r="F652" s="13"/>
      <c r="G652" s="13"/>
    </row>
    <row r="653" spans="1:7" ht="16.5" customHeight="1">
      <c r="A653" s="13"/>
      <c r="B653" s="13"/>
      <c r="C653" s="13"/>
      <c r="D653" s="13"/>
      <c r="E653" s="13"/>
      <c r="F653" s="13"/>
      <c r="G653" s="13"/>
    </row>
    <row r="654" spans="1:7" ht="16.5" customHeight="1">
      <c r="A654" s="13"/>
      <c r="B654" s="13"/>
      <c r="C654" s="13"/>
      <c r="D654" s="13"/>
      <c r="E654" s="13"/>
      <c r="F654" s="13"/>
      <c r="G654" s="13"/>
    </row>
    <row r="655" spans="1:7" ht="16.5" customHeight="1">
      <c r="A655" s="13"/>
      <c r="B655" s="13"/>
      <c r="C655" s="13"/>
      <c r="D655" s="13"/>
      <c r="E655" s="13"/>
      <c r="F655" s="13"/>
      <c r="G655" s="13"/>
    </row>
    <row r="656" spans="1:7" ht="16.5" customHeight="1">
      <c r="A656" s="13"/>
      <c r="B656" s="13"/>
      <c r="C656" s="13"/>
      <c r="D656" s="13"/>
      <c r="E656" s="13"/>
      <c r="F656" s="13"/>
      <c r="G656" s="13"/>
    </row>
    <row r="657" spans="1:7" ht="16.5" customHeight="1">
      <c r="A657" s="13"/>
      <c r="B657" s="13"/>
      <c r="C657" s="13"/>
      <c r="D657" s="13"/>
      <c r="E657" s="13"/>
      <c r="F657" s="13"/>
      <c r="G657" s="13"/>
    </row>
    <row r="658" spans="1:7" ht="16.5" customHeight="1">
      <c r="A658" s="13"/>
      <c r="B658" s="13"/>
      <c r="C658" s="13"/>
      <c r="D658" s="13"/>
      <c r="E658" s="13"/>
      <c r="F658" s="13"/>
      <c r="G658" s="13"/>
    </row>
    <row r="659" spans="1:7" ht="16.5" customHeight="1">
      <c r="A659" s="13"/>
      <c r="B659" s="13"/>
      <c r="C659" s="13"/>
      <c r="D659" s="13"/>
      <c r="E659" s="13"/>
      <c r="F659" s="13"/>
      <c r="G659" s="13"/>
    </row>
    <row r="660" spans="1:7" ht="16.5" customHeight="1">
      <c r="A660" s="13"/>
      <c r="B660" s="13"/>
      <c r="C660" s="13"/>
      <c r="D660" s="13"/>
      <c r="E660" s="13"/>
      <c r="F660" s="13"/>
      <c r="G660" s="13"/>
    </row>
    <row r="661" spans="1:7" ht="16.5" customHeight="1">
      <c r="A661" s="13"/>
      <c r="B661" s="13"/>
      <c r="C661" s="13"/>
      <c r="D661" s="13"/>
      <c r="E661" s="13"/>
      <c r="F661" s="13"/>
      <c r="G661" s="13"/>
    </row>
    <row r="662" spans="1:7" ht="16.5" customHeight="1">
      <c r="A662" s="13"/>
      <c r="B662" s="13"/>
      <c r="C662" s="13"/>
      <c r="D662" s="13"/>
      <c r="E662" s="13"/>
      <c r="F662" s="13"/>
      <c r="G662" s="13"/>
    </row>
    <row r="663" spans="1:7" ht="16.5" customHeight="1">
      <c r="A663" s="13"/>
      <c r="B663" s="13"/>
      <c r="C663" s="13"/>
      <c r="D663" s="13"/>
      <c r="E663" s="13"/>
      <c r="F663" s="13"/>
      <c r="G663" s="13"/>
    </row>
    <row r="664" spans="1:7" ht="16.5" customHeight="1">
      <c r="A664" s="13"/>
      <c r="B664" s="13"/>
      <c r="C664" s="13"/>
      <c r="D664" s="13"/>
      <c r="E664" s="13"/>
      <c r="F664" s="13"/>
      <c r="G664" s="13"/>
    </row>
    <row r="665" spans="1:7" ht="16.5" customHeight="1">
      <c r="A665" s="13"/>
      <c r="B665" s="13"/>
      <c r="C665" s="13"/>
      <c r="D665" s="13"/>
      <c r="E665" s="13"/>
      <c r="F665" s="13"/>
      <c r="G665" s="13"/>
    </row>
    <row r="666" spans="1:7" ht="16.5" customHeight="1">
      <c r="A666" s="13"/>
      <c r="B666" s="13"/>
      <c r="C666" s="13"/>
      <c r="D666" s="13"/>
      <c r="E666" s="13"/>
      <c r="F666" s="13"/>
      <c r="G666" s="13"/>
    </row>
    <row r="667" spans="1:7" ht="16.5" customHeight="1">
      <c r="A667" s="13"/>
      <c r="B667" s="13"/>
      <c r="C667" s="13"/>
      <c r="D667" s="13"/>
      <c r="E667" s="13"/>
      <c r="F667" s="13"/>
      <c r="G667" s="13"/>
    </row>
    <row r="668" spans="1:7" ht="16.5" customHeight="1">
      <c r="A668" s="13"/>
      <c r="B668" s="13"/>
      <c r="C668" s="13"/>
      <c r="D668" s="13"/>
      <c r="E668" s="13"/>
      <c r="F668" s="13"/>
      <c r="G668" s="13"/>
    </row>
    <row r="669" spans="1:7" ht="16.5" customHeight="1">
      <c r="A669" s="13"/>
      <c r="B669" s="13"/>
      <c r="C669" s="13"/>
      <c r="D669" s="13"/>
      <c r="E669" s="13"/>
      <c r="F669" s="13"/>
      <c r="G669" s="13"/>
    </row>
    <row r="670" spans="1:7" ht="16.5" customHeight="1">
      <c r="A670" s="13"/>
      <c r="B670" s="13"/>
      <c r="C670" s="13"/>
      <c r="D670" s="13"/>
      <c r="E670" s="13"/>
      <c r="F670" s="13"/>
      <c r="G670" s="13"/>
    </row>
    <row r="671" spans="1:7" ht="16.5" customHeight="1">
      <c r="A671" s="13"/>
      <c r="B671" s="13"/>
      <c r="C671" s="13"/>
      <c r="D671" s="13"/>
      <c r="E671" s="13"/>
      <c r="F671" s="13"/>
      <c r="G671" s="13"/>
    </row>
    <row r="672" spans="1:7" ht="16.5" customHeight="1">
      <c r="A672" s="13"/>
      <c r="B672" s="13"/>
      <c r="C672" s="13"/>
      <c r="D672" s="13"/>
      <c r="E672" s="13"/>
      <c r="F672" s="13"/>
      <c r="G672" s="13"/>
    </row>
    <row r="673" spans="1:7" ht="16.5" customHeight="1">
      <c r="A673" s="13"/>
      <c r="B673" s="13"/>
      <c r="C673" s="13"/>
      <c r="D673" s="13"/>
      <c r="E673" s="13"/>
      <c r="F673" s="13"/>
      <c r="G673" s="13"/>
    </row>
    <row r="674" spans="1:7" ht="16.5" customHeight="1">
      <c r="A674" s="13"/>
      <c r="B674" s="13"/>
      <c r="C674" s="13"/>
      <c r="D674" s="13"/>
      <c r="E674" s="13"/>
      <c r="F674" s="13"/>
      <c r="G674" s="13"/>
    </row>
    <row r="675" spans="1:7" ht="16.5" customHeight="1">
      <c r="A675" s="13"/>
      <c r="B675" s="13"/>
      <c r="C675" s="13"/>
      <c r="D675" s="13"/>
      <c r="E675" s="13"/>
      <c r="F675" s="13"/>
      <c r="G675" s="13"/>
    </row>
    <row r="676" spans="1:7" ht="16.5" customHeight="1">
      <c r="A676" s="13"/>
      <c r="B676" s="13"/>
      <c r="C676" s="13"/>
      <c r="D676" s="13"/>
      <c r="E676" s="13"/>
      <c r="F676" s="13"/>
      <c r="G676" s="13"/>
    </row>
    <row r="677" spans="1:7" ht="16.5" customHeight="1">
      <c r="A677" s="13"/>
      <c r="B677" s="13"/>
      <c r="C677" s="13"/>
      <c r="D677" s="13"/>
      <c r="E677" s="13"/>
      <c r="F677" s="13"/>
      <c r="G677" s="13"/>
    </row>
    <row r="678" spans="1:7" ht="16.5" customHeight="1">
      <c r="A678" s="13"/>
      <c r="B678" s="13"/>
      <c r="C678" s="13"/>
      <c r="D678" s="13"/>
      <c r="E678" s="13"/>
      <c r="F678" s="13"/>
      <c r="G678" s="13"/>
    </row>
    <row r="679" spans="1:7" ht="16.5" customHeight="1">
      <c r="A679" s="13"/>
      <c r="B679" s="13"/>
      <c r="C679" s="13"/>
      <c r="D679" s="13"/>
      <c r="E679" s="13"/>
      <c r="F679" s="13"/>
      <c r="G679" s="13"/>
    </row>
    <row r="680" spans="1:7" ht="16.5" customHeight="1">
      <c r="A680" s="13"/>
      <c r="B680" s="13"/>
      <c r="C680" s="13"/>
      <c r="D680" s="13"/>
      <c r="E680" s="13"/>
      <c r="F680" s="13"/>
      <c r="G680" s="13"/>
    </row>
    <row r="681" spans="1:7" ht="16.5" customHeight="1">
      <c r="A681" s="13"/>
      <c r="B681" s="13"/>
      <c r="C681" s="13"/>
      <c r="D681" s="13"/>
      <c r="E681" s="13"/>
      <c r="F681" s="13"/>
      <c r="G681" s="13"/>
    </row>
    <row r="682" spans="1:7" ht="16.5" customHeight="1">
      <c r="A682" s="13"/>
      <c r="B682" s="13"/>
      <c r="C682" s="13"/>
      <c r="D682" s="13"/>
      <c r="E682" s="13"/>
      <c r="F682" s="13"/>
      <c r="G682" s="13"/>
    </row>
    <row r="683" spans="1:7" ht="16.5" customHeight="1">
      <c r="A683" s="13"/>
      <c r="B683" s="13"/>
      <c r="C683" s="13"/>
      <c r="D683" s="13"/>
      <c r="E683" s="13"/>
      <c r="F683" s="13"/>
      <c r="G683" s="13"/>
    </row>
    <row r="684" spans="1:7" ht="16.5" customHeight="1">
      <c r="A684" s="13"/>
      <c r="B684" s="13"/>
      <c r="C684" s="13"/>
      <c r="D684" s="13"/>
      <c r="E684" s="13"/>
      <c r="F684" s="13"/>
      <c r="G684" s="13"/>
    </row>
    <row r="685" spans="1:7" ht="16.5" customHeight="1">
      <c r="A685" s="13"/>
      <c r="B685" s="13"/>
      <c r="C685" s="13"/>
      <c r="D685" s="13"/>
      <c r="E685" s="13"/>
      <c r="F685" s="13"/>
      <c r="G685" s="13"/>
    </row>
    <row r="686" spans="1:7" ht="16.5" customHeight="1">
      <c r="A686" s="13"/>
      <c r="B686" s="13"/>
      <c r="C686" s="13"/>
      <c r="D686" s="13"/>
      <c r="E686" s="13"/>
      <c r="F686" s="13"/>
      <c r="G686" s="13"/>
    </row>
    <row r="687" spans="1:7" ht="16.5" customHeight="1">
      <c r="A687" s="13"/>
      <c r="B687" s="13"/>
      <c r="C687" s="13"/>
      <c r="D687" s="13"/>
      <c r="E687" s="13"/>
      <c r="F687" s="13"/>
      <c r="G687" s="13"/>
    </row>
    <row r="688" spans="1:7" ht="16.5" customHeight="1">
      <c r="A688" s="13"/>
      <c r="B688" s="13"/>
      <c r="C688" s="13"/>
      <c r="D688" s="13"/>
      <c r="E688" s="13"/>
      <c r="F688" s="13"/>
      <c r="G688" s="13"/>
    </row>
    <row r="689" spans="1:7" ht="16.5" customHeight="1">
      <c r="A689" s="13"/>
      <c r="B689" s="13"/>
      <c r="C689" s="13"/>
      <c r="D689" s="13"/>
      <c r="E689" s="13"/>
      <c r="F689" s="13"/>
      <c r="G689" s="13"/>
    </row>
    <row r="690" spans="1:7" ht="16.5" customHeight="1">
      <c r="A690" s="13"/>
      <c r="B690" s="13"/>
      <c r="C690" s="13"/>
      <c r="D690" s="13"/>
      <c r="E690" s="13"/>
      <c r="F690" s="13"/>
      <c r="G690" s="13"/>
    </row>
    <row r="691" spans="1:7" ht="16.5" customHeight="1">
      <c r="A691" s="13"/>
      <c r="B691" s="13"/>
      <c r="C691" s="13"/>
      <c r="D691" s="13"/>
      <c r="E691" s="13"/>
      <c r="F691" s="13"/>
      <c r="G691" s="13"/>
    </row>
    <row r="692" spans="1:7" ht="16.5" customHeight="1">
      <c r="A692" s="13"/>
      <c r="B692" s="13"/>
      <c r="C692" s="13"/>
      <c r="D692" s="13"/>
      <c r="E692" s="13"/>
      <c r="F692" s="13"/>
      <c r="G692" s="13"/>
    </row>
    <row r="693" spans="1:7" ht="16.5" customHeight="1">
      <c r="A693" s="13"/>
      <c r="B693" s="13"/>
      <c r="C693" s="13"/>
      <c r="D693" s="13"/>
      <c r="E693" s="13"/>
      <c r="F693" s="13"/>
      <c r="G693" s="13"/>
    </row>
    <row r="694" spans="1:7" ht="16.5" customHeight="1">
      <c r="A694" s="13"/>
      <c r="B694" s="13"/>
      <c r="C694" s="13"/>
      <c r="D694" s="13"/>
      <c r="E694" s="13"/>
      <c r="F694" s="13"/>
      <c r="G694" s="13"/>
    </row>
    <row r="695" spans="1:7" ht="16.5" customHeight="1">
      <c r="A695" s="13"/>
      <c r="B695" s="13"/>
      <c r="C695" s="13"/>
      <c r="D695" s="13"/>
      <c r="E695" s="13"/>
      <c r="F695" s="13"/>
      <c r="G695" s="13"/>
    </row>
    <row r="696" spans="1:7" ht="16.5" customHeight="1">
      <c r="A696" s="13"/>
      <c r="B696" s="13"/>
      <c r="C696" s="13"/>
      <c r="D696" s="13"/>
      <c r="E696" s="13"/>
      <c r="F696" s="13"/>
      <c r="G696" s="13"/>
    </row>
    <row r="697" spans="1:7" ht="16.5" customHeight="1">
      <c r="A697" s="13"/>
      <c r="B697" s="13"/>
      <c r="C697" s="13"/>
      <c r="D697" s="13"/>
      <c r="E697" s="13"/>
      <c r="F697" s="13"/>
      <c r="G697" s="13"/>
    </row>
    <row r="698" spans="1:7" ht="16.5" customHeight="1">
      <c r="A698" s="13"/>
      <c r="B698" s="13"/>
      <c r="C698" s="13"/>
      <c r="D698" s="13"/>
      <c r="E698" s="13"/>
      <c r="F698" s="13"/>
      <c r="G698" s="13"/>
    </row>
    <row r="699" spans="1:7" ht="16.5" customHeight="1">
      <c r="A699" s="13"/>
      <c r="B699" s="13"/>
      <c r="C699" s="13"/>
      <c r="D699" s="13"/>
      <c r="E699" s="13"/>
      <c r="F699" s="13"/>
      <c r="G699" s="13"/>
    </row>
    <row r="700" spans="1:7" ht="16.5" customHeight="1">
      <c r="A700" s="13"/>
      <c r="B700" s="13"/>
      <c r="C700" s="13"/>
      <c r="D700" s="13"/>
      <c r="E700" s="13"/>
      <c r="F700" s="13"/>
      <c r="G700" s="13"/>
    </row>
    <row r="701" spans="1:7" ht="16.5" customHeight="1">
      <c r="A701" s="13"/>
      <c r="B701" s="13"/>
      <c r="C701" s="13"/>
      <c r="D701" s="13"/>
      <c r="E701" s="13"/>
      <c r="F701" s="13"/>
      <c r="G701" s="13"/>
    </row>
    <row r="702" spans="1:7" ht="16.5" customHeight="1">
      <c r="A702" s="13"/>
      <c r="B702" s="13"/>
      <c r="C702" s="13"/>
      <c r="D702" s="13"/>
      <c r="E702" s="13"/>
      <c r="F702" s="13"/>
      <c r="G702" s="13"/>
    </row>
    <row r="703" spans="1:7" ht="16.5" customHeight="1">
      <c r="A703" s="13"/>
      <c r="B703" s="13"/>
      <c r="C703" s="13"/>
      <c r="D703" s="13"/>
      <c r="E703" s="13"/>
      <c r="F703" s="13"/>
      <c r="G703" s="13"/>
    </row>
    <row r="704" spans="1:7" ht="16.5" customHeight="1">
      <c r="A704" s="13"/>
      <c r="B704" s="13"/>
      <c r="C704" s="13"/>
      <c r="D704" s="13"/>
      <c r="E704" s="13"/>
      <c r="F704" s="13"/>
      <c r="G704" s="13"/>
    </row>
    <row r="705" spans="1:7" ht="16.5" customHeight="1">
      <c r="A705" s="13"/>
      <c r="B705" s="13"/>
      <c r="C705" s="13"/>
      <c r="D705" s="13"/>
      <c r="E705" s="13"/>
      <c r="F705" s="13"/>
      <c r="G705" s="13"/>
    </row>
    <row r="706" spans="1:7" ht="16.5" customHeight="1">
      <c r="A706" s="13"/>
      <c r="B706" s="13"/>
      <c r="C706" s="13"/>
      <c r="D706" s="13"/>
      <c r="E706" s="13"/>
      <c r="F706" s="13"/>
      <c r="G706" s="13"/>
    </row>
    <row r="707" spans="1:7" ht="16.5" customHeight="1">
      <c r="A707" s="13"/>
      <c r="B707" s="13"/>
      <c r="C707" s="13"/>
      <c r="D707" s="13"/>
      <c r="E707" s="13"/>
      <c r="F707" s="13"/>
      <c r="G707" s="13"/>
    </row>
    <row r="708" spans="1:7" ht="16.5" customHeight="1">
      <c r="A708" s="13"/>
      <c r="B708" s="13"/>
      <c r="C708" s="13"/>
      <c r="D708" s="13"/>
      <c r="E708" s="13"/>
      <c r="F708" s="13"/>
      <c r="G708" s="13"/>
    </row>
    <row r="709" spans="1:7" ht="16.5" customHeight="1">
      <c r="A709" s="13"/>
      <c r="B709" s="13"/>
      <c r="C709" s="13"/>
      <c r="D709" s="13"/>
      <c r="E709" s="13"/>
      <c r="F709" s="13"/>
      <c r="G709" s="13"/>
    </row>
    <row r="710" spans="1:7" ht="16.5" customHeight="1">
      <c r="A710" s="13"/>
      <c r="B710" s="13"/>
      <c r="C710" s="13"/>
      <c r="D710" s="13"/>
      <c r="E710" s="13"/>
      <c r="F710" s="13"/>
      <c r="G710" s="13"/>
    </row>
    <row r="711" spans="1:7" ht="16.5" customHeight="1">
      <c r="A711" s="13"/>
      <c r="B711" s="13"/>
      <c r="C711" s="13"/>
      <c r="D711" s="13"/>
      <c r="E711" s="13"/>
      <c r="F711" s="13"/>
      <c r="G711" s="13"/>
    </row>
    <row r="712" spans="1:7" ht="16.5" customHeight="1">
      <c r="A712" s="13"/>
      <c r="B712" s="13"/>
      <c r="C712" s="13"/>
      <c r="D712" s="13"/>
      <c r="E712" s="13"/>
      <c r="F712" s="13"/>
      <c r="G712" s="13"/>
    </row>
    <row r="713" spans="1:7" ht="16.5" customHeight="1">
      <c r="A713" s="13"/>
      <c r="B713" s="13"/>
      <c r="C713" s="13"/>
      <c r="D713" s="13"/>
      <c r="E713" s="13"/>
      <c r="F713" s="13"/>
      <c r="G713" s="13"/>
    </row>
    <row r="714" spans="1:7" ht="16.5" customHeight="1">
      <c r="A714" s="13"/>
      <c r="B714" s="13"/>
      <c r="C714" s="13"/>
      <c r="D714" s="13"/>
      <c r="E714" s="13"/>
      <c r="F714" s="13"/>
      <c r="G714" s="13"/>
    </row>
    <row r="715" spans="1:7" ht="16.5" customHeight="1">
      <c r="A715" s="13"/>
      <c r="B715" s="13"/>
      <c r="C715" s="13"/>
      <c r="D715" s="13"/>
      <c r="E715" s="13"/>
      <c r="F715" s="13"/>
      <c r="G715" s="13"/>
    </row>
    <row r="716" spans="1:7" ht="16.5" customHeight="1">
      <c r="A716" s="13"/>
      <c r="B716" s="13"/>
      <c r="C716" s="13"/>
      <c r="D716" s="13"/>
      <c r="E716" s="13"/>
      <c r="F716" s="13"/>
      <c r="G716" s="13"/>
    </row>
    <row r="717" spans="1:7" ht="16.5" customHeight="1">
      <c r="A717" s="13"/>
      <c r="B717" s="13"/>
      <c r="C717" s="13"/>
      <c r="D717" s="13"/>
      <c r="E717" s="13"/>
      <c r="F717" s="13"/>
      <c r="G717" s="13"/>
    </row>
    <row r="718" spans="1:7" ht="16.5" customHeight="1">
      <c r="A718" s="13"/>
      <c r="B718" s="13"/>
      <c r="C718" s="13"/>
      <c r="D718" s="13"/>
      <c r="E718" s="13"/>
      <c r="F718" s="13"/>
      <c r="G718" s="13"/>
    </row>
    <row r="719" spans="1:7" ht="16.5" customHeight="1">
      <c r="A719" s="13"/>
      <c r="B719" s="13"/>
      <c r="C719" s="13"/>
      <c r="D719" s="13"/>
      <c r="E719" s="13"/>
      <c r="F719" s="13"/>
      <c r="G719" s="13"/>
    </row>
    <row r="720" spans="1:7" ht="16.5" customHeight="1">
      <c r="A720" s="13"/>
      <c r="B720" s="13"/>
      <c r="C720" s="13"/>
      <c r="D720" s="13"/>
      <c r="E720" s="13"/>
      <c r="F720" s="13"/>
      <c r="G720" s="13"/>
    </row>
    <row r="721" spans="1:7" ht="16.5" customHeight="1">
      <c r="A721" s="13"/>
      <c r="B721" s="13"/>
      <c r="C721" s="13"/>
      <c r="D721" s="13"/>
      <c r="E721" s="13"/>
      <c r="F721" s="13"/>
      <c r="G721" s="13"/>
    </row>
    <row r="722" spans="1:7" ht="16.5" customHeight="1">
      <c r="A722" s="13"/>
      <c r="B722" s="13"/>
      <c r="C722" s="13"/>
      <c r="D722" s="13"/>
      <c r="E722" s="13"/>
      <c r="F722" s="13"/>
      <c r="G722" s="13"/>
    </row>
    <row r="723" spans="1:7" ht="16.5" customHeight="1">
      <c r="A723" s="13"/>
      <c r="B723" s="13"/>
      <c r="C723" s="13"/>
      <c r="D723" s="13"/>
      <c r="E723" s="13"/>
      <c r="F723" s="13"/>
      <c r="G723" s="13"/>
    </row>
    <row r="724" spans="1:7" ht="16.5" customHeight="1">
      <c r="A724" s="13"/>
      <c r="B724" s="13"/>
      <c r="C724" s="13"/>
      <c r="D724" s="13"/>
      <c r="E724" s="13"/>
      <c r="F724" s="13"/>
      <c r="G724" s="13"/>
    </row>
    <row r="725" spans="1:7" ht="16.5" customHeight="1">
      <c r="A725" s="13"/>
      <c r="B725" s="13"/>
      <c r="C725" s="13"/>
      <c r="D725" s="13"/>
      <c r="E725" s="13"/>
      <c r="F725" s="13"/>
      <c r="G725" s="13"/>
    </row>
    <row r="726" spans="1:7" ht="16.5" customHeight="1">
      <c r="A726" s="13"/>
      <c r="B726" s="13"/>
      <c r="C726" s="13"/>
      <c r="D726" s="13"/>
      <c r="E726" s="13"/>
      <c r="F726" s="13"/>
      <c r="G726" s="13"/>
    </row>
    <row r="727" spans="1:7" ht="16.5" customHeight="1">
      <c r="A727" s="13"/>
      <c r="B727" s="13"/>
      <c r="C727" s="13"/>
      <c r="D727" s="13"/>
      <c r="E727" s="13"/>
      <c r="F727" s="13"/>
      <c r="G727" s="13"/>
    </row>
    <row r="728" spans="1:7" ht="16.5" customHeight="1">
      <c r="A728" s="13"/>
      <c r="B728" s="13"/>
      <c r="C728" s="13"/>
      <c r="D728" s="13"/>
      <c r="E728" s="13"/>
      <c r="F728" s="13"/>
      <c r="G728" s="13"/>
    </row>
    <row r="729" spans="1:7" ht="16.5" customHeight="1">
      <c r="A729" s="13"/>
      <c r="B729" s="13"/>
      <c r="C729" s="13"/>
      <c r="D729" s="13"/>
      <c r="E729" s="13"/>
      <c r="F729" s="13"/>
      <c r="G729" s="13"/>
    </row>
    <row r="730" spans="1:7" ht="16.5" customHeight="1">
      <c r="A730" s="13"/>
      <c r="B730" s="13"/>
      <c r="C730" s="13"/>
      <c r="D730" s="13"/>
      <c r="E730" s="13"/>
      <c r="F730" s="13"/>
      <c r="G730" s="13"/>
    </row>
    <row r="731" spans="1:7" ht="16.5" customHeight="1">
      <c r="A731" s="13"/>
      <c r="B731" s="13"/>
      <c r="C731" s="13"/>
      <c r="D731" s="13"/>
      <c r="E731" s="13"/>
      <c r="F731" s="13"/>
      <c r="G731" s="13"/>
    </row>
    <row r="732" spans="1:7" ht="16.5" customHeight="1">
      <c r="A732" s="13"/>
      <c r="B732" s="13"/>
      <c r="C732" s="13"/>
      <c r="D732" s="13"/>
      <c r="E732" s="13"/>
      <c r="F732" s="13"/>
      <c r="G732" s="13"/>
    </row>
    <row r="733" spans="1:7" ht="16.5" customHeight="1">
      <c r="A733" s="13"/>
      <c r="B733" s="13"/>
      <c r="C733" s="13"/>
      <c r="D733" s="13"/>
      <c r="E733" s="13"/>
      <c r="F733" s="13"/>
      <c r="G733" s="13"/>
    </row>
    <row r="734" spans="1:7" ht="16.5" customHeight="1">
      <c r="A734" s="13"/>
      <c r="B734" s="13"/>
      <c r="C734" s="13"/>
      <c r="D734" s="13"/>
      <c r="E734" s="13"/>
      <c r="F734" s="13"/>
      <c r="G734" s="13"/>
    </row>
    <row r="735" spans="1:7" ht="16.5" customHeight="1">
      <c r="A735" s="13"/>
      <c r="B735" s="13"/>
      <c r="C735" s="13"/>
      <c r="D735" s="13"/>
      <c r="E735" s="13"/>
      <c r="F735" s="13"/>
      <c r="G735" s="13"/>
    </row>
    <row r="736" spans="1:7" ht="16.5" customHeight="1">
      <c r="A736" s="13"/>
      <c r="B736" s="13"/>
      <c r="C736" s="13"/>
      <c r="D736" s="13"/>
      <c r="E736" s="13"/>
      <c r="F736" s="13"/>
      <c r="G736" s="13"/>
    </row>
    <row r="737" spans="1:7" ht="16.5" customHeight="1">
      <c r="A737" s="13"/>
      <c r="B737" s="13"/>
      <c r="C737" s="13"/>
      <c r="D737" s="13"/>
      <c r="E737" s="13"/>
      <c r="F737" s="13"/>
      <c r="G737" s="13"/>
    </row>
    <row r="738" spans="1:7" ht="16.5" customHeight="1">
      <c r="A738" s="13"/>
      <c r="B738" s="13"/>
      <c r="C738" s="13"/>
      <c r="D738" s="13"/>
      <c r="E738" s="13"/>
      <c r="F738" s="13"/>
      <c r="G738" s="13"/>
    </row>
    <row r="739" spans="1:7" ht="16.5" customHeight="1">
      <c r="A739" s="13"/>
      <c r="B739" s="13"/>
      <c r="C739" s="13"/>
      <c r="D739" s="13"/>
      <c r="E739" s="13"/>
      <c r="F739" s="13"/>
      <c r="G739" s="13"/>
    </row>
    <row r="740" spans="1:7" ht="16.5" customHeight="1">
      <c r="A740" s="13"/>
      <c r="B740" s="13"/>
      <c r="C740" s="13"/>
      <c r="D740" s="13"/>
      <c r="E740" s="13"/>
      <c r="F740" s="13"/>
      <c r="G740" s="13"/>
    </row>
    <row r="741" spans="1:7" ht="16.5" customHeight="1">
      <c r="A741" s="13"/>
      <c r="B741" s="13"/>
      <c r="C741" s="13"/>
      <c r="D741" s="13"/>
      <c r="E741" s="13"/>
      <c r="F741" s="13"/>
      <c r="G741" s="13"/>
    </row>
    <row r="742" spans="1:7" ht="16.5" customHeight="1">
      <c r="A742" s="13"/>
      <c r="B742" s="13"/>
      <c r="C742" s="13"/>
      <c r="D742" s="13"/>
      <c r="E742" s="13"/>
      <c r="F742" s="13"/>
      <c r="G742" s="13"/>
    </row>
    <row r="743" spans="1:7" ht="16.5" customHeight="1">
      <c r="A743" s="13"/>
      <c r="B743" s="13"/>
      <c r="C743" s="13"/>
      <c r="D743" s="13"/>
      <c r="E743" s="13"/>
      <c r="F743" s="13"/>
      <c r="G743" s="13"/>
    </row>
    <row r="744" spans="1:7" ht="16.5" customHeight="1">
      <c r="A744" s="13"/>
      <c r="B744" s="13"/>
      <c r="C744" s="13"/>
      <c r="D744" s="13"/>
      <c r="E744" s="13"/>
      <c r="F744" s="13"/>
      <c r="G744" s="13"/>
    </row>
    <row r="745" spans="1:7" ht="16.5" customHeight="1">
      <c r="A745" s="13"/>
      <c r="B745" s="13"/>
      <c r="C745" s="13"/>
      <c r="D745" s="13"/>
      <c r="E745" s="13"/>
      <c r="F745" s="13"/>
      <c r="G745" s="13"/>
    </row>
    <row r="746" spans="1:7" ht="16.5" customHeight="1">
      <c r="A746" s="13"/>
      <c r="B746" s="13"/>
      <c r="C746" s="13"/>
      <c r="D746" s="13"/>
      <c r="E746" s="13"/>
      <c r="F746" s="13"/>
      <c r="G746" s="13"/>
    </row>
    <row r="747" spans="1:7" ht="16.5" customHeight="1">
      <c r="A747" s="13"/>
      <c r="B747" s="13"/>
      <c r="C747" s="13"/>
      <c r="D747" s="13"/>
      <c r="E747" s="13"/>
      <c r="F747" s="13"/>
      <c r="G747" s="13"/>
    </row>
    <row r="748" spans="1:7" ht="16.5" customHeight="1">
      <c r="A748" s="13"/>
      <c r="B748" s="13"/>
      <c r="C748" s="13"/>
      <c r="D748" s="13"/>
      <c r="E748" s="13"/>
      <c r="F748" s="13"/>
      <c r="G748" s="13"/>
    </row>
    <row r="749" spans="1:7" ht="16.5" customHeight="1">
      <c r="A749" s="13"/>
      <c r="B749" s="13"/>
      <c r="C749" s="13"/>
      <c r="D749" s="13"/>
      <c r="E749" s="13"/>
      <c r="F749" s="13"/>
      <c r="G749" s="13"/>
    </row>
    <row r="750" spans="1:7" ht="16.5" customHeight="1">
      <c r="A750" s="13"/>
      <c r="B750" s="13"/>
      <c r="C750" s="13"/>
      <c r="D750" s="13"/>
      <c r="E750" s="13"/>
      <c r="F750" s="13"/>
      <c r="G750" s="13"/>
    </row>
    <row r="751" spans="1:7" ht="16.5" customHeight="1">
      <c r="A751" s="13"/>
      <c r="B751" s="13"/>
      <c r="C751" s="13"/>
      <c r="D751" s="13"/>
      <c r="E751" s="13"/>
      <c r="F751" s="13"/>
      <c r="G751" s="13"/>
    </row>
    <row r="752" spans="1:7" ht="16.5" customHeight="1">
      <c r="A752" s="13"/>
      <c r="B752" s="13"/>
      <c r="C752" s="13"/>
      <c r="D752" s="13"/>
      <c r="E752" s="13"/>
      <c r="F752" s="13"/>
      <c r="G752" s="13"/>
    </row>
    <row r="753" spans="1:7" ht="16.5" customHeight="1">
      <c r="A753" s="13"/>
      <c r="B753" s="13"/>
      <c r="C753" s="13"/>
      <c r="D753" s="13"/>
      <c r="E753" s="13"/>
      <c r="F753" s="13"/>
      <c r="G753" s="13"/>
    </row>
    <row r="754" spans="1:7" ht="16.5" customHeight="1">
      <c r="A754" s="13"/>
      <c r="B754" s="13"/>
      <c r="C754" s="13"/>
      <c r="D754" s="13"/>
      <c r="E754" s="13"/>
      <c r="F754" s="13"/>
      <c r="G754" s="13"/>
    </row>
    <row r="755" spans="1:7" ht="16.5" customHeight="1">
      <c r="A755" s="13"/>
      <c r="B755" s="13"/>
      <c r="C755" s="13"/>
      <c r="D755" s="13"/>
      <c r="E755" s="13"/>
      <c r="F755" s="13"/>
      <c r="G755" s="13"/>
    </row>
    <row r="756" spans="1:7" ht="16.5" customHeight="1">
      <c r="A756" s="13"/>
      <c r="B756" s="13"/>
      <c r="C756" s="13"/>
      <c r="D756" s="13"/>
      <c r="E756" s="13"/>
      <c r="F756" s="13"/>
      <c r="G756" s="13"/>
    </row>
    <row r="757" spans="1:7" ht="16.5" customHeight="1">
      <c r="A757" s="13"/>
      <c r="B757" s="13"/>
      <c r="C757" s="13"/>
      <c r="D757" s="13"/>
      <c r="E757" s="13"/>
      <c r="F757" s="13"/>
      <c r="G757" s="13"/>
    </row>
    <row r="758" spans="1:7" ht="16.5" customHeight="1">
      <c r="A758" s="13"/>
      <c r="B758" s="13"/>
      <c r="C758" s="13"/>
      <c r="D758" s="13"/>
      <c r="E758" s="13"/>
      <c r="F758" s="13"/>
      <c r="G758" s="13"/>
    </row>
    <row r="759" spans="1:7" ht="16.5" customHeight="1">
      <c r="A759" s="13"/>
      <c r="B759" s="13"/>
      <c r="C759" s="13"/>
      <c r="D759" s="13"/>
      <c r="E759" s="13"/>
      <c r="F759" s="13"/>
      <c r="G759" s="13"/>
    </row>
    <row r="760" spans="1:7" ht="16.5" customHeight="1">
      <c r="A760" s="13"/>
      <c r="B760" s="13"/>
      <c r="C760" s="13"/>
      <c r="D760" s="13"/>
      <c r="E760" s="13"/>
      <c r="F760" s="13"/>
      <c r="G760" s="13"/>
    </row>
    <row r="761" spans="1:7" ht="16.5" customHeight="1">
      <c r="A761" s="13"/>
      <c r="B761" s="13"/>
      <c r="C761" s="13"/>
      <c r="D761" s="13"/>
      <c r="E761" s="13"/>
      <c r="F761" s="13"/>
      <c r="G761" s="13"/>
    </row>
    <row r="762" spans="1:7" ht="16.5" customHeight="1">
      <c r="A762" s="13"/>
      <c r="B762" s="13"/>
      <c r="C762" s="13"/>
      <c r="D762" s="13"/>
      <c r="E762" s="13"/>
      <c r="F762" s="13"/>
      <c r="G762" s="13"/>
    </row>
    <row r="763" spans="1:7" ht="16.5" customHeight="1">
      <c r="A763" s="13"/>
      <c r="B763" s="13"/>
      <c r="C763" s="13"/>
      <c r="D763" s="13"/>
      <c r="E763" s="13"/>
      <c r="F763" s="13"/>
      <c r="G763" s="13"/>
    </row>
    <row r="764" spans="1:7" ht="16.5" customHeight="1">
      <c r="A764" s="13"/>
      <c r="B764" s="13"/>
      <c r="C764" s="13"/>
      <c r="D764" s="13"/>
      <c r="E764" s="13"/>
      <c r="F764" s="13"/>
      <c r="G764" s="13"/>
    </row>
    <row r="765" spans="1:7" ht="16.5" customHeight="1">
      <c r="A765" s="13"/>
      <c r="B765" s="13"/>
      <c r="C765" s="13"/>
      <c r="D765" s="13"/>
      <c r="E765" s="13"/>
      <c r="F765" s="13"/>
      <c r="G765" s="13"/>
    </row>
    <row r="766" spans="1:7" ht="16.5" customHeight="1">
      <c r="A766" s="13"/>
      <c r="B766" s="13"/>
      <c r="C766" s="13"/>
      <c r="D766" s="13"/>
      <c r="E766" s="13"/>
      <c r="F766" s="13"/>
      <c r="G766" s="13"/>
    </row>
    <row r="767" spans="1:7" ht="16.5" customHeight="1">
      <c r="A767" s="13"/>
      <c r="B767" s="13"/>
      <c r="C767" s="13"/>
      <c r="D767" s="13"/>
      <c r="E767" s="13"/>
      <c r="F767" s="13"/>
      <c r="G767" s="13"/>
    </row>
    <row r="768" spans="1:7" ht="16.5" customHeight="1">
      <c r="A768" s="13"/>
      <c r="B768" s="13"/>
      <c r="C768" s="13"/>
      <c r="D768" s="13"/>
      <c r="E768" s="13"/>
      <c r="F768" s="13"/>
      <c r="G768" s="13"/>
    </row>
    <row r="769" spans="1:7" ht="16.5" customHeight="1">
      <c r="A769" s="13"/>
      <c r="B769" s="13"/>
      <c r="C769" s="13"/>
      <c r="D769" s="13"/>
      <c r="E769" s="13"/>
      <c r="F769" s="13"/>
      <c r="G769" s="13"/>
    </row>
    <row r="770" spans="1:7" ht="16.5" customHeight="1">
      <c r="A770" s="13"/>
      <c r="B770" s="13"/>
      <c r="C770" s="13"/>
      <c r="D770" s="13"/>
      <c r="E770" s="13"/>
      <c r="F770" s="13"/>
      <c r="G770" s="13"/>
    </row>
    <row r="771" spans="1:7" ht="16.5" customHeight="1">
      <c r="A771" s="13"/>
      <c r="B771" s="13"/>
      <c r="C771" s="13"/>
      <c r="D771" s="13"/>
      <c r="E771" s="13"/>
      <c r="F771" s="13"/>
      <c r="G771" s="13"/>
    </row>
    <row r="772" spans="1:7" ht="16.5" customHeight="1">
      <c r="A772" s="13"/>
      <c r="B772" s="13"/>
      <c r="C772" s="13"/>
      <c r="D772" s="13"/>
      <c r="E772" s="13"/>
      <c r="F772" s="13"/>
      <c r="G772" s="13"/>
    </row>
    <row r="773" spans="1:7" ht="16.5" customHeight="1">
      <c r="A773" s="13"/>
      <c r="B773" s="13"/>
      <c r="C773" s="13"/>
      <c r="D773" s="13"/>
      <c r="E773" s="13"/>
      <c r="F773" s="13"/>
      <c r="G773" s="13"/>
    </row>
    <row r="774" spans="1:7" ht="16.5" customHeight="1">
      <c r="A774" s="13"/>
      <c r="B774" s="13"/>
      <c r="C774" s="13"/>
      <c r="D774" s="13"/>
      <c r="E774" s="13"/>
      <c r="F774" s="13"/>
      <c r="G774" s="13"/>
    </row>
    <row r="775" spans="1:7" ht="16.5" customHeight="1">
      <c r="A775" s="13"/>
      <c r="B775" s="13"/>
      <c r="C775" s="13"/>
      <c r="D775" s="13"/>
      <c r="E775" s="13"/>
      <c r="F775" s="13"/>
      <c r="G775" s="13"/>
    </row>
    <row r="776" spans="1:7" ht="16.5" customHeight="1">
      <c r="A776" s="13"/>
      <c r="B776" s="13"/>
      <c r="C776" s="13"/>
      <c r="D776" s="13"/>
      <c r="E776" s="13"/>
      <c r="F776" s="13"/>
      <c r="G776" s="13"/>
    </row>
    <row r="777" spans="1:7" ht="16.5" customHeight="1">
      <c r="A777" s="13"/>
      <c r="B777" s="13"/>
      <c r="C777" s="13"/>
      <c r="D777" s="13"/>
      <c r="E777" s="13"/>
      <c r="F777" s="13"/>
      <c r="G777" s="13"/>
    </row>
    <row r="778" spans="1:7" ht="16.5" customHeight="1">
      <c r="A778" s="13"/>
      <c r="B778" s="13"/>
      <c r="C778" s="13"/>
      <c r="D778" s="13"/>
      <c r="E778" s="13"/>
      <c r="F778" s="13"/>
      <c r="G778" s="13"/>
    </row>
    <row r="779" spans="1:7" ht="16.5" customHeight="1">
      <c r="A779" s="13"/>
      <c r="B779" s="13"/>
      <c r="C779" s="13"/>
      <c r="D779" s="13"/>
      <c r="E779" s="13"/>
      <c r="F779" s="13"/>
      <c r="G779" s="13"/>
    </row>
    <row r="780" spans="1:7" ht="16.5" customHeight="1">
      <c r="A780" s="13"/>
      <c r="B780" s="13"/>
      <c r="C780" s="13"/>
      <c r="D780" s="13"/>
      <c r="E780" s="13"/>
      <c r="F780" s="13"/>
      <c r="G780" s="13"/>
    </row>
    <row r="781" spans="1:7" ht="16.5" customHeight="1">
      <c r="A781" s="13"/>
      <c r="B781" s="13"/>
      <c r="C781" s="13"/>
      <c r="D781" s="13"/>
      <c r="E781" s="13"/>
      <c r="F781" s="13"/>
      <c r="G781" s="13"/>
    </row>
    <row r="782" spans="1:7" ht="16.5" customHeight="1">
      <c r="A782" s="13"/>
      <c r="B782" s="13"/>
      <c r="C782" s="13"/>
      <c r="D782" s="13"/>
      <c r="E782" s="13"/>
      <c r="F782" s="13"/>
      <c r="G782" s="13"/>
    </row>
    <row r="783" spans="1:7" ht="16.5" customHeight="1">
      <c r="A783" s="13"/>
      <c r="B783" s="13"/>
      <c r="C783" s="13"/>
      <c r="D783" s="13"/>
      <c r="E783" s="13"/>
      <c r="F783" s="13"/>
      <c r="G783" s="13"/>
    </row>
    <row r="784" spans="1:7" ht="16.5" customHeight="1">
      <c r="A784" s="13"/>
      <c r="B784" s="13"/>
      <c r="C784" s="13"/>
      <c r="D784" s="13"/>
      <c r="E784" s="13"/>
      <c r="F784" s="13"/>
      <c r="G784" s="13"/>
    </row>
    <row r="785" spans="1:7" ht="16.5" customHeight="1">
      <c r="A785" s="13"/>
      <c r="B785" s="13"/>
      <c r="C785" s="13"/>
      <c r="D785" s="13"/>
      <c r="E785" s="13"/>
      <c r="F785" s="13"/>
      <c r="G785" s="13"/>
    </row>
    <row r="786" spans="1:7" ht="16.5" customHeight="1">
      <c r="A786" s="13"/>
      <c r="B786" s="13"/>
      <c r="C786" s="13"/>
      <c r="D786" s="13"/>
      <c r="E786" s="13"/>
      <c r="F786" s="13"/>
      <c r="G786" s="13"/>
    </row>
    <row r="787" spans="1:7" ht="16.5" customHeight="1">
      <c r="A787" s="13"/>
      <c r="B787" s="13"/>
      <c r="C787" s="13"/>
      <c r="D787" s="13"/>
      <c r="E787" s="13"/>
      <c r="F787" s="13"/>
      <c r="G787" s="13"/>
    </row>
    <row r="788" spans="1:7" ht="16.5" customHeight="1">
      <c r="A788" s="13"/>
      <c r="B788" s="13"/>
      <c r="C788" s="13"/>
      <c r="D788" s="13"/>
      <c r="E788" s="13"/>
      <c r="F788" s="13"/>
      <c r="G788" s="13"/>
    </row>
    <row r="789" spans="1:7" ht="16.5" customHeight="1">
      <c r="A789" s="13"/>
      <c r="B789" s="13"/>
      <c r="C789" s="13"/>
      <c r="D789" s="13"/>
      <c r="E789" s="13"/>
      <c r="F789" s="13"/>
      <c r="G789" s="13"/>
    </row>
    <row r="790" spans="1:7" ht="16.5" customHeight="1">
      <c r="A790" s="13"/>
      <c r="B790" s="13"/>
      <c r="C790" s="13"/>
      <c r="D790" s="13"/>
      <c r="E790" s="13"/>
      <c r="F790" s="13"/>
      <c r="G790" s="13"/>
    </row>
    <row r="791" spans="1:7" ht="16.5" customHeight="1">
      <c r="A791" s="13"/>
      <c r="B791" s="13"/>
      <c r="C791" s="13"/>
      <c r="D791" s="13"/>
      <c r="E791" s="13"/>
      <c r="F791" s="13"/>
      <c r="G791" s="13"/>
    </row>
    <row r="792" spans="1:7" ht="16.5" customHeight="1">
      <c r="A792" s="13"/>
      <c r="B792" s="13"/>
      <c r="C792" s="13"/>
      <c r="D792" s="13"/>
      <c r="E792" s="13"/>
      <c r="F792" s="13"/>
      <c r="G792" s="13"/>
    </row>
    <row r="793" spans="1:7" ht="16.5" customHeight="1">
      <c r="A793" s="13"/>
      <c r="B793" s="13"/>
      <c r="C793" s="13"/>
      <c r="D793" s="13"/>
      <c r="E793" s="13"/>
      <c r="F793" s="13"/>
      <c r="G793" s="13"/>
    </row>
    <row r="794" spans="1:7" ht="16.5" customHeight="1">
      <c r="A794" s="13"/>
      <c r="B794" s="13"/>
      <c r="C794" s="13"/>
      <c r="D794" s="13"/>
      <c r="E794" s="13"/>
      <c r="F794" s="13"/>
      <c r="G794" s="13"/>
    </row>
    <row r="795" spans="1:7" ht="16.5" customHeight="1">
      <c r="A795" s="13"/>
      <c r="B795" s="13"/>
      <c r="C795" s="13"/>
      <c r="D795" s="13"/>
      <c r="E795" s="13"/>
      <c r="F795" s="13"/>
      <c r="G795" s="13"/>
    </row>
    <row r="796" spans="1:7" ht="16.5" customHeight="1">
      <c r="A796" s="13"/>
      <c r="B796" s="13"/>
      <c r="C796" s="13"/>
      <c r="D796" s="13"/>
      <c r="E796" s="13"/>
      <c r="F796" s="13"/>
      <c r="G796" s="13"/>
    </row>
    <row r="797" spans="1:7" ht="16.5" customHeight="1">
      <c r="A797" s="13"/>
      <c r="B797" s="13"/>
      <c r="C797" s="13"/>
      <c r="D797" s="13"/>
      <c r="E797" s="13"/>
      <c r="F797" s="13"/>
      <c r="G797" s="13"/>
    </row>
    <row r="798" spans="1:7" ht="16.5" customHeight="1">
      <c r="A798" s="13"/>
      <c r="B798" s="13"/>
      <c r="C798" s="13"/>
      <c r="D798" s="13"/>
      <c r="E798" s="13"/>
      <c r="F798" s="13"/>
      <c r="G798" s="13"/>
    </row>
    <row r="799" spans="1:7" ht="16.5" customHeight="1">
      <c r="A799" s="13"/>
      <c r="B799" s="13"/>
      <c r="C799" s="13"/>
      <c r="D799" s="13"/>
      <c r="E799" s="13"/>
      <c r="F799" s="13"/>
      <c r="G799" s="13"/>
    </row>
    <row r="800" spans="1:7" ht="16.5" customHeight="1">
      <c r="A800" s="13"/>
      <c r="B800" s="13"/>
      <c r="C800" s="13"/>
      <c r="D800" s="13"/>
      <c r="E800" s="13"/>
      <c r="F800" s="13"/>
      <c r="G800" s="13"/>
    </row>
    <row r="801" spans="1:7" ht="16.5" customHeight="1">
      <c r="A801" s="13"/>
      <c r="B801" s="13"/>
      <c r="C801" s="13"/>
      <c r="D801" s="13"/>
      <c r="E801" s="13"/>
      <c r="F801" s="13"/>
      <c r="G801" s="13"/>
    </row>
    <row r="802" spans="1:7" ht="16.5" customHeight="1">
      <c r="A802" s="13"/>
      <c r="B802" s="13"/>
      <c r="C802" s="13"/>
      <c r="D802" s="13"/>
      <c r="E802" s="13"/>
      <c r="F802" s="13"/>
      <c r="G802" s="13"/>
    </row>
    <row r="803" spans="1:7" ht="16.5" customHeight="1">
      <c r="A803" s="13"/>
      <c r="B803" s="13"/>
      <c r="C803" s="13"/>
      <c r="D803" s="13"/>
      <c r="E803" s="13"/>
      <c r="F803" s="13"/>
      <c r="G803" s="13"/>
    </row>
    <row r="804" spans="1:7" ht="16.5" customHeight="1">
      <c r="A804" s="13"/>
      <c r="B804" s="13"/>
      <c r="C804" s="13"/>
      <c r="D804" s="13"/>
      <c r="E804" s="13"/>
      <c r="F804" s="13"/>
      <c r="G804" s="13"/>
    </row>
    <row r="805" spans="1:7" ht="16.5" customHeight="1">
      <c r="A805" s="13"/>
      <c r="B805" s="13"/>
      <c r="C805" s="13"/>
      <c r="D805" s="13"/>
      <c r="E805" s="13"/>
      <c r="F805" s="13"/>
      <c r="G805" s="13"/>
    </row>
    <row r="806" spans="1:7" ht="16.5" customHeight="1">
      <c r="A806" s="13"/>
      <c r="B806" s="13"/>
      <c r="C806" s="13"/>
      <c r="D806" s="13"/>
      <c r="E806" s="13"/>
      <c r="F806" s="13"/>
      <c r="G806" s="13"/>
    </row>
    <row r="807" spans="1:7" ht="16.5" customHeight="1">
      <c r="A807" s="13"/>
      <c r="B807" s="13"/>
      <c r="C807" s="13"/>
      <c r="D807" s="13"/>
      <c r="E807" s="13"/>
      <c r="F807" s="13"/>
      <c r="G807" s="13"/>
    </row>
    <row r="808" spans="1:7" ht="16.5" customHeight="1">
      <c r="A808" s="13"/>
      <c r="B808" s="13"/>
      <c r="C808" s="13"/>
      <c r="D808" s="13"/>
      <c r="E808" s="13"/>
      <c r="F808" s="13"/>
      <c r="G808" s="13"/>
    </row>
    <row r="809" spans="1:7" ht="16.5" customHeight="1">
      <c r="A809" s="13"/>
      <c r="B809" s="13"/>
      <c r="C809" s="13"/>
      <c r="D809" s="13"/>
      <c r="E809" s="13"/>
      <c r="F809" s="13"/>
      <c r="G809" s="13"/>
    </row>
    <row r="810" spans="1:7" ht="16.5" customHeight="1">
      <c r="A810" s="13"/>
      <c r="B810" s="13"/>
      <c r="C810" s="13"/>
      <c r="D810" s="13"/>
      <c r="E810" s="13"/>
      <c r="F810" s="13"/>
      <c r="G810" s="13"/>
    </row>
    <row r="811" spans="1:7" ht="16.5" customHeight="1">
      <c r="A811" s="13"/>
      <c r="B811" s="13"/>
      <c r="C811" s="13"/>
      <c r="D811" s="13"/>
      <c r="E811" s="13"/>
      <c r="F811" s="13"/>
      <c r="G811" s="13"/>
    </row>
    <row r="812" spans="1:7" ht="16.5" customHeight="1">
      <c r="A812" s="13"/>
      <c r="B812" s="13"/>
      <c r="C812" s="13"/>
      <c r="D812" s="13"/>
      <c r="E812" s="13"/>
      <c r="F812" s="13"/>
      <c r="G812" s="13"/>
    </row>
    <row r="813" spans="1:7" ht="16.5" customHeight="1">
      <c r="A813" s="13"/>
      <c r="B813" s="13"/>
      <c r="C813" s="13"/>
      <c r="D813" s="13"/>
      <c r="E813" s="13"/>
      <c r="F813" s="13"/>
      <c r="G813" s="13"/>
    </row>
    <row r="814" spans="1:7" ht="16.5" customHeight="1">
      <c r="A814" s="13"/>
      <c r="B814" s="13"/>
      <c r="C814" s="13"/>
      <c r="D814" s="13"/>
      <c r="E814" s="13"/>
      <c r="F814" s="13"/>
      <c r="G814" s="13"/>
    </row>
    <row r="815" spans="1:7" ht="16.5" customHeight="1">
      <c r="A815" s="13"/>
      <c r="B815" s="13"/>
      <c r="C815" s="13"/>
      <c r="D815" s="13"/>
      <c r="E815" s="13"/>
      <c r="F815" s="13"/>
      <c r="G815" s="13"/>
    </row>
    <row r="816" spans="1:7" ht="16.5" customHeight="1">
      <c r="A816" s="13"/>
      <c r="B816" s="13"/>
      <c r="C816" s="13"/>
      <c r="D816" s="13"/>
      <c r="E816" s="13"/>
      <c r="F816" s="13"/>
      <c r="G816" s="13"/>
    </row>
    <row r="817" spans="1:7" ht="16.5" customHeight="1">
      <c r="A817" s="13"/>
      <c r="B817" s="13"/>
      <c r="C817" s="13"/>
      <c r="D817" s="13"/>
      <c r="E817" s="13"/>
      <c r="F817" s="13"/>
      <c r="G817" s="13"/>
    </row>
    <row r="818" spans="1:7" ht="16.5" customHeight="1">
      <c r="A818" s="13"/>
      <c r="B818" s="13"/>
      <c r="C818" s="13"/>
      <c r="D818" s="13"/>
      <c r="E818" s="13"/>
      <c r="F818" s="13"/>
      <c r="G818" s="13"/>
    </row>
    <row r="819" spans="1:7" ht="16.5" customHeight="1">
      <c r="A819" s="13"/>
      <c r="B819" s="13"/>
      <c r="C819" s="13"/>
      <c r="D819" s="13"/>
      <c r="E819" s="13"/>
      <c r="F819" s="13"/>
      <c r="G819" s="13"/>
    </row>
    <row r="820" spans="1:7" ht="16.5" customHeight="1">
      <c r="A820" s="13"/>
      <c r="B820" s="13"/>
      <c r="C820" s="13"/>
      <c r="D820" s="13"/>
      <c r="E820" s="13"/>
      <c r="F820" s="13"/>
      <c r="G820" s="13"/>
    </row>
    <row r="821" spans="1:7" ht="16.5" customHeight="1">
      <c r="A821" s="13"/>
      <c r="B821" s="13"/>
      <c r="C821" s="13"/>
      <c r="D821" s="13"/>
      <c r="E821" s="13"/>
      <c r="F821" s="13"/>
      <c r="G821" s="13"/>
    </row>
    <row r="822" spans="1:7" ht="16.5" customHeight="1">
      <c r="A822" s="13"/>
      <c r="B822" s="13"/>
      <c r="C822" s="13"/>
      <c r="D822" s="13"/>
      <c r="E822" s="13"/>
      <c r="F822" s="13"/>
      <c r="G822" s="13"/>
    </row>
    <row r="823" spans="1:7" ht="16.5" customHeight="1">
      <c r="A823" s="13"/>
      <c r="B823" s="13"/>
      <c r="C823" s="13"/>
      <c r="D823" s="13"/>
      <c r="E823" s="13"/>
      <c r="F823" s="13"/>
      <c r="G823" s="13"/>
    </row>
    <row r="824" spans="1:7" ht="16.5" customHeight="1">
      <c r="A824" s="13"/>
      <c r="B824" s="13"/>
      <c r="C824" s="13"/>
      <c r="D824" s="13"/>
      <c r="E824" s="13"/>
      <c r="F824" s="13"/>
      <c r="G824" s="13"/>
    </row>
    <row r="825" spans="1:7" ht="16.5" customHeight="1">
      <c r="A825" s="13"/>
      <c r="B825" s="13"/>
      <c r="C825" s="13"/>
      <c r="D825" s="13"/>
      <c r="E825" s="13"/>
      <c r="F825" s="13"/>
      <c r="G825" s="13"/>
    </row>
    <row r="826" spans="1:7" ht="16.5" customHeight="1">
      <c r="A826" s="13"/>
      <c r="B826" s="13"/>
      <c r="C826" s="13"/>
      <c r="D826" s="13"/>
      <c r="E826" s="13"/>
      <c r="F826" s="13"/>
      <c r="G826" s="13"/>
    </row>
    <row r="827" spans="1:7" ht="16.5" customHeight="1">
      <c r="A827" s="13"/>
      <c r="B827" s="13"/>
      <c r="C827" s="13"/>
      <c r="D827" s="13"/>
      <c r="E827" s="13"/>
      <c r="F827" s="13"/>
      <c r="G827" s="13"/>
    </row>
    <row r="828" spans="1:7" ht="16.5" customHeight="1">
      <c r="A828" s="13"/>
      <c r="B828" s="13"/>
      <c r="C828" s="13"/>
      <c r="D828" s="13"/>
      <c r="E828" s="13"/>
      <c r="F828" s="13"/>
      <c r="G828" s="13"/>
    </row>
    <row r="829" spans="1:7" ht="16.5" customHeight="1">
      <c r="A829" s="13"/>
      <c r="B829" s="13"/>
      <c r="C829" s="13"/>
      <c r="D829" s="13"/>
      <c r="E829" s="13"/>
      <c r="F829" s="13"/>
      <c r="G829" s="13"/>
    </row>
    <row r="830" spans="1:7" ht="16.5" customHeight="1">
      <c r="A830" s="13"/>
      <c r="B830" s="13"/>
      <c r="C830" s="13"/>
      <c r="D830" s="13"/>
      <c r="E830" s="13"/>
      <c r="F830" s="13"/>
      <c r="G830" s="13"/>
    </row>
    <row r="831" spans="1:7" ht="16.5" customHeight="1">
      <c r="A831" s="13"/>
      <c r="B831" s="13"/>
      <c r="C831" s="13"/>
      <c r="D831" s="13"/>
      <c r="E831" s="13"/>
      <c r="F831" s="13"/>
      <c r="G831" s="13"/>
    </row>
    <row r="832" spans="1:7" ht="16.5" customHeight="1">
      <c r="A832" s="13"/>
      <c r="B832" s="13"/>
      <c r="C832" s="13"/>
      <c r="D832" s="13"/>
      <c r="E832" s="13"/>
      <c r="F832" s="13"/>
      <c r="G832" s="13"/>
    </row>
    <row r="833" spans="1:7" ht="16.5" customHeight="1">
      <c r="A833" s="13"/>
      <c r="B833" s="13"/>
      <c r="C833" s="13"/>
      <c r="D833" s="13"/>
      <c r="E833" s="13"/>
      <c r="F833" s="13"/>
      <c r="G833" s="13"/>
    </row>
    <row r="834" spans="1:7" ht="16.5" customHeight="1">
      <c r="A834" s="13"/>
      <c r="B834" s="13"/>
      <c r="C834" s="13"/>
      <c r="D834" s="13"/>
      <c r="E834" s="13"/>
      <c r="F834" s="13"/>
      <c r="G834" s="13"/>
    </row>
    <row r="835" spans="1:7" ht="16.5" customHeight="1">
      <c r="A835" s="13"/>
      <c r="B835" s="13"/>
      <c r="C835" s="13"/>
      <c r="D835" s="13"/>
      <c r="E835" s="13"/>
      <c r="F835" s="13"/>
      <c r="G835" s="13"/>
    </row>
    <row r="836" spans="1:7" ht="16.5" customHeight="1">
      <c r="A836" s="13"/>
      <c r="B836" s="13"/>
      <c r="C836" s="13"/>
      <c r="D836" s="13"/>
      <c r="E836" s="13"/>
      <c r="F836" s="13"/>
      <c r="G836" s="13"/>
    </row>
    <row r="837" spans="1:7" ht="16.5" customHeight="1">
      <c r="A837" s="13"/>
      <c r="B837" s="13"/>
      <c r="C837" s="13"/>
      <c r="D837" s="13"/>
      <c r="E837" s="13"/>
      <c r="F837" s="13"/>
      <c r="G837" s="13"/>
    </row>
    <row r="838" spans="1:7" ht="16.5" customHeight="1">
      <c r="A838" s="13"/>
      <c r="B838" s="13"/>
      <c r="C838" s="13"/>
      <c r="D838" s="13"/>
      <c r="E838" s="13"/>
      <c r="F838" s="13"/>
      <c r="G838" s="13"/>
    </row>
    <row r="839" spans="1:7" ht="16.5" customHeight="1">
      <c r="A839" s="13"/>
      <c r="B839" s="13"/>
      <c r="C839" s="13"/>
      <c r="D839" s="13"/>
      <c r="E839" s="13"/>
      <c r="F839" s="13"/>
      <c r="G839" s="13"/>
    </row>
    <row r="840" spans="1:7" ht="16.5" customHeight="1">
      <c r="A840" s="13"/>
      <c r="B840" s="13"/>
      <c r="C840" s="13"/>
      <c r="D840" s="13"/>
      <c r="E840" s="13"/>
      <c r="F840" s="13"/>
      <c r="G840" s="13"/>
    </row>
    <row r="841" spans="1:7" ht="16.5" customHeight="1">
      <c r="A841" s="13"/>
      <c r="B841" s="13"/>
      <c r="C841" s="13"/>
      <c r="D841" s="13"/>
      <c r="E841" s="13"/>
      <c r="F841" s="13"/>
      <c r="G841" s="13"/>
    </row>
    <row r="842" spans="1:7" ht="16.5" customHeight="1">
      <c r="A842" s="13"/>
      <c r="B842" s="13"/>
      <c r="C842" s="13"/>
      <c r="D842" s="13"/>
      <c r="E842" s="13"/>
      <c r="F842" s="13"/>
      <c r="G842" s="13"/>
    </row>
    <row r="843" spans="1:7" ht="16.5" customHeight="1">
      <c r="A843" s="13"/>
      <c r="B843" s="13"/>
      <c r="C843" s="13"/>
      <c r="D843" s="13"/>
      <c r="E843" s="13"/>
      <c r="F843" s="13"/>
      <c r="G843" s="13"/>
    </row>
    <row r="844" spans="1:7" ht="16.5" customHeight="1">
      <c r="A844" s="13"/>
      <c r="B844" s="13"/>
      <c r="C844" s="13"/>
      <c r="D844" s="13"/>
      <c r="E844" s="13"/>
      <c r="F844" s="13"/>
      <c r="G844" s="13"/>
    </row>
    <row r="845" spans="1:7" ht="16.5" customHeight="1">
      <c r="A845" s="13"/>
      <c r="B845" s="13"/>
      <c r="C845" s="13"/>
      <c r="D845" s="13"/>
      <c r="E845" s="13"/>
      <c r="F845" s="13"/>
      <c r="G845" s="13"/>
    </row>
    <row r="846" spans="1:7" ht="16.5" customHeight="1">
      <c r="A846" s="13"/>
      <c r="B846" s="13"/>
      <c r="C846" s="13"/>
      <c r="D846" s="13"/>
      <c r="E846" s="13"/>
      <c r="F846" s="13"/>
      <c r="G846" s="13"/>
    </row>
    <row r="847" spans="1:7" ht="16.5" customHeight="1">
      <c r="A847" s="13"/>
      <c r="B847" s="13"/>
      <c r="C847" s="13"/>
      <c r="D847" s="13"/>
      <c r="E847" s="13"/>
      <c r="F847" s="13"/>
      <c r="G847" s="13"/>
    </row>
    <row r="848" spans="1:7" ht="16.5" customHeight="1">
      <c r="A848" s="13"/>
      <c r="B848" s="13"/>
      <c r="C848" s="13"/>
      <c r="D848" s="13"/>
      <c r="E848" s="13"/>
      <c r="F848" s="13"/>
      <c r="G848" s="13"/>
    </row>
    <row r="849" spans="1:7" ht="16.5" customHeight="1">
      <c r="A849" s="13"/>
      <c r="B849" s="13"/>
      <c r="C849" s="13"/>
      <c r="D849" s="13"/>
      <c r="E849" s="13"/>
      <c r="F849" s="13"/>
      <c r="G849" s="13"/>
    </row>
    <row r="850" spans="1:7" ht="16.5" customHeight="1">
      <c r="A850" s="13"/>
      <c r="B850" s="13"/>
      <c r="C850" s="13"/>
      <c r="D850" s="13"/>
      <c r="E850" s="13"/>
      <c r="F850" s="13"/>
      <c r="G850" s="13"/>
    </row>
    <row r="851" spans="1:7" ht="16.5" customHeight="1">
      <c r="A851" s="13"/>
      <c r="B851" s="13"/>
      <c r="C851" s="13"/>
      <c r="D851" s="13"/>
      <c r="E851" s="13"/>
      <c r="F851" s="13"/>
      <c r="G851" s="13"/>
    </row>
    <row r="852" spans="1:7" ht="16.5" customHeight="1">
      <c r="A852" s="13"/>
      <c r="B852" s="13"/>
      <c r="C852" s="13"/>
      <c r="D852" s="13"/>
      <c r="E852" s="13"/>
      <c r="F852" s="13"/>
      <c r="G852" s="13"/>
    </row>
    <row r="853" spans="1:7" ht="16.5" customHeight="1">
      <c r="A853" s="13"/>
      <c r="B853" s="13"/>
      <c r="C853" s="13"/>
      <c r="D853" s="13"/>
      <c r="E853" s="13"/>
      <c r="F853" s="13"/>
      <c r="G853" s="13"/>
    </row>
    <row r="854" spans="1:7" ht="16.5" customHeight="1">
      <c r="A854" s="13"/>
      <c r="B854" s="13"/>
      <c r="C854" s="13"/>
      <c r="D854" s="13"/>
      <c r="E854" s="13"/>
      <c r="F854" s="13"/>
      <c r="G854" s="13"/>
    </row>
    <row r="855" spans="1:7" ht="16.5" customHeight="1">
      <c r="A855" s="13"/>
      <c r="B855" s="13"/>
      <c r="C855" s="13"/>
      <c r="D855" s="13"/>
      <c r="E855" s="13"/>
      <c r="F855" s="13"/>
      <c r="G855" s="13"/>
    </row>
    <row r="856" spans="1:7" ht="16.5" customHeight="1">
      <c r="A856" s="13"/>
      <c r="B856" s="13"/>
      <c r="C856" s="13"/>
      <c r="D856" s="13"/>
      <c r="E856" s="13"/>
      <c r="F856" s="13"/>
      <c r="G856" s="13"/>
    </row>
    <row r="857" spans="1:7" ht="16.5" customHeight="1">
      <c r="A857" s="13"/>
      <c r="B857" s="13"/>
      <c r="C857" s="13"/>
      <c r="D857" s="13"/>
      <c r="E857" s="13"/>
      <c r="F857" s="13"/>
      <c r="G857" s="13"/>
    </row>
    <row r="858" spans="1:7" ht="16.5" customHeight="1">
      <c r="A858" s="13"/>
      <c r="B858" s="13"/>
      <c r="C858" s="13"/>
      <c r="D858" s="13"/>
      <c r="E858" s="13"/>
      <c r="F858" s="13"/>
      <c r="G858" s="13"/>
    </row>
    <row r="859" spans="1:7" ht="16.5" customHeight="1">
      <c r="A859" s="13"/>
      <c r="B859" s="13"/>
      <c r="C859" s="13"/>
      <c r="D859" s="13"/>
      <c r="E859" s="13"/>
      <c r="F859" s="13"/>
      <c r="G859" s="13"/>
    </row>
    <row r="860" spans="1:7" ht="16.5" customHeight="1">
      <c r="A860" s="13"/>
      <c r="B860" s="13"/>
      <c r="C860" s="13"/>
      <c r="D860" s="13"/>
      <c r="E860" s="13"/>
      <c r="F860" s="13"/>
      <c r="G860" s="13"/>
    </row>
    <row r="861" spans="1:7" ht="16.5" customHeight="1">
      <c r="A861" s="13"/>
      <c r="B861" s="13"/>
      <c r="C861" s="13"/>
      <c r="D861" s="13"/>
      <c r="E861" s="13"/>
      <c r="F861" s="13"/>
      <c r="G861" s="13"/>
    </row>
    <row r="862" spans="1:7" ht="16.5" customHeight="1">
      <c r="A862" s="13"/>
      <c r="B862" s="13"/>
      <c r="C862" s="13"/>
      <c r="D862" s="13"/>
      <c r="E862" s="13"/>
      <c r="F862" s="13"/>
      <c r="G862" s="13"/>
    </row>
    <row r="863" spans="1:7" ht="16.5" customHeight="1">
      <c r="A863" s="13"/>
      <c r="B863" s="13"/>
      <c r="C863" s="13"/>
      <c r="D863" s="13"/>
      <c r="E863" s="13"/>
      <c r="F863" s="13"/>
      <c r="G863" s="13"/>
    </row>
    <row r="864" spans="1:7" ht="16.5" customHeight="1">
      <c r="A864" s="13"/>
      <c r="B864" s="13"/>
      <c r="C864" s="13"/>
      <c r="D864" s="13"/>
      <c r="E864" s="13"/>
      <c r="F864" s="13"/>
      <c r="G864" s="13"/>
    </row>
    <row r="865" spans="1:7" ht="16.5" customHeight="1">
      <c r="A865" s="13"/>
      <c r="B865" s="13"/>
      <c r="C865" s="13"/>
      <c r="D865" s="13"/>
      <c r="E865" s="13"/>
      <c r="F865" s="13"/>
      <c r="G865" s="13"/>
    </row>
    <row r="866" spans="1:7" ht="16.5" customHeight="1">
      <c r="A866" s="13"/>
      <c r="B866" s="13"/>
      <c r="C866" s="13"/>
      <c r="D866" s="13"/>
      <c r="E866" s="13"/>
      <c r="F866" s="13"/>
      <c r="G866" s="13"/>
    </row>
    <row r="867" spans="1:7" ht="16.5" customHeight="1">
      <c r="A867" s="13"/>
      <c r="B867" s="13"/>
      <c r="C867" s="13"/>
      <c r="D867" s="13"/>
      <c r="E867" s="13"/>
      <c r="F867" s="13"/>
      <c r="G867" s="13"/>
    </row>
    <row r="868" spans="1:7" ht="16.5" customHeight="1">
      <c r="A868" s="13"/>
      <c r="B868" s="13"/>
      <c r="C868" s="13"/>
      <c r="D868" s="13"/>
      <c r="E868" s="13"/>
      <c r="F868" s="13"/>
      <c r="G868" s="13"/>
    </row>
    <row r="869" spans="1:7" ht="16.5" customHeight="1">
      <c r="A869" s="13"/>
      <c r="B869" s="13"/>
      <c r="C869" s="13"/>
      <c r="D869" s="13"/>
      <c r="E869" s="13"/>
      <c r="F869" s="13"/>
      <c r="G869" s="13"/>
    </row>
    <row r="870" spans="1:7" ht="16.5" customHeight="1">
      <c r="A870" s="13"/>
      <c r="B870" s="13"/>
      <c r="C870" s="13"/>
      <c r="D870" s="13"/>
      <c r="E870" s="13"/>
      <c r="F870" s="13"/>
      <c r="G870" s="13"/>
    </row>
    <row r="871" spans="1:7" ht="16.5" customHeight="1">
      <c r="A871" s="13"/>
      <c r="B871" s="13"/>
      <c r="C871" s="13"/>
      <c r="D871" s="13"/>
      <c r="E871" s="13"/>
      <c r="F871" s="13"/>
      <c r="G871" s="13"/>
    </row>
    <row r="872" spans="1:7" ht="16.5" customHeight="1">
      <c r="A872" s="13"/>
      <c r="B872" s="13"/>
      <c r="C872" s="13"/>
      <c r="D872" s="13"/>
      <c r="E872" s="13"/>
      <c r="F872" s="13"/>
      <c r="G872" s="13"/>
    </row>
    <row r="873" spans="1:7" ht="16.5" customHeight="1">
      <c r="A873" s="13"/>
      <c r="B873" s="13"/>
      <c r="C873" s="13"/>
      <c r="D873" s="13"/>
      <c r="E873" s="13"/>
      <c r="F873" s="13"/>
      <c r="G873" s="13"/>
    </row>
    <row r="874" spans="1:7" ht="16.5" customHeight="1">
      <c r="A874" s="13"/>
      <c r="B874" s="13"/>
      <c r="C874" s="13"/>
      <c r="D874" s="13"/>
      <c r="E874" s="13"/>
      <c r="F874" s="13"/>
      <c r="G874" s="13"/>
    </row>
    <row r="875" spans="1:7" ht="16.5" customHeight="1">
      <c r="A875" s="13"/>
      <c r="B875" s="13"/>
      <c r="C875" s="13"/>
      <c r="D875" s="13"/>
      <c r="E875" s="13"/>
      <c r="F875" s="13"/>
      <c r="G875" s="13"/>
    </row>
    <row r="876" spans="1:7" ht="16.5" customHeight="1">
      <c r="A876" s="13"/>
      <c r="B876" s="13"/>
      <c r="C876" s="13"/>
      <c r="D876" s="13"/>
      <c r="E876" s="13"/>
      <c r="F876" s="13"/>
      <c r="G876" s="13"/>
    </row>
    <row r="877" spans="1:7" ht="16.5" customHeight="1">
      <c r="A877" s="13"/>
      <c r="B877" s="13"/>
      <c r="C877" s="13"/>
      <c r="D877" s="13"/>
      <c r="E877" s="13"/>
      <c r="F877" s="13"/>
      <c r="G877" s="13"/>
    </row>
    <row r="878" spans="1:7" ht="16.5" customHeight="1">
      <c r="A878" s="13"/>
      <c r="B878" s="13"/>
      <c r="C878" s="13"/>
      <c r="D878" s="13"/>
      <c r="E878" s="13"/>
      <c r="F878" s="13"/>
      <c r="G878" s="13"/>
    </row>
    <row r="879" spans="1:7" ht="16.5" customHeight="1">
      <c r="A879" s="13"/>
      <c r="B879" s="13"/>
      <c r="C879" s="13"/>
      <c r="D879" s="13"/>
      <c r="E879" s="13"/>
      <c r="F879" s="13"/>
      <c r="G879" s="13"/>
    </row>
    <row r="880" spans="1:7" ht="16.5" customHeight="1">
      <c r="A880" s="13"/>
      <c r="B880" s="13"/>
      <c r="C880" s="13"/>
      <c r="D880" s="13"/>
      <c r="E880" s="13"/>
      <c r="F880" s="13"/>
      <c r="G880" s="13"/>
    </row>
    <row r="881" spans="1:7" ht="16.5" customHeight="1">
      <c r="A881" s="13"/>
      <c r="B881" s="13"/>
      <c r="C881" s="13"/>
      <c r="D881" s="13"/>
      <c r="E881" s="13"/>
      <c r="F881" s="13"/>
      <c r="G881" s="13"/>
    </row>
    <row r="882" spans="1:7" ht="16.5" customHeight="1">
      <c r="A882" s="13"/>
      <c r="B882" s="13"/>
      <c r="C882" s="13"/>
      <c r="D882" s="13"/>
      <c r="E882" s="13"/>
      <c r="F882" s="13"/>
      <c r="G882" s="13"/>
    </row>
    <row r="883" spans="1:7" ht="16.5" customHeight="1">
      <c r="A883" s="13"/>
      <c r="B883" s="13"/>
      <c r="C883" s="13"/>
      <c r="D883" s="13"/>
      <c r="E883" s="13"/>
      <c r="F883" s="13"/>
      <c r="G883" s="13"/>
    </row>
    <row r="884" spans="1:7" ht="16.5" customHeight="1">
      <c r="A884" s="13"/>
      <c r="B884" s="13"/>
      <c r="C884" s="13"/>
      <c r="D884" s="13"/>
      <c r="E884" s="13"/>
      <c r="F884" s="13"/>
      <c r="G884" s="13"/>
    </row>
    <row r="885" spans="1:7" ht="16.5" customHeight="1">
      <c r="A885" s="13"/>
      <c r="B885" s="13"/>
      <c r="C885" s="13"/>
      <c r="D885" s="13"/>
      <c r="E885" s="13"/>
      <c r="F885" s="13"/>
      <c r="G885" s="13"/>
    </row>
    <row r="886" spans="1:7" ht="16.5" customHeight="1">
      <c r="A886" s="13"/>
      <c r="B886" s="13"/>
      <c r="C886" s="13"/>
      <c r="D886" s="13"/>
      <c r="E886" s="13"/>
      <c r="F886" s="13"/>
      <c r="G886" s="13"/>
    </row>
    <row r="887" spans="1:7" ht="16.5" customHeight="1">
      <c r="A887" s="13"/>
      <c r="B887" s="13"/>
      <c r="C887" s="13"/>
      <c r="D887" s="13"/>
      <c r="E887" s="13"/>
      <c r="F887" s="13"/>
      <c r="G887" s="13"/>
    </row>
    <row r="888" spans="1:7" ht="16.5" customHeight="1">
      <c r="A888" s="13"/>
      <c r="B888" s="13"/>
      <c r="C888" s="13"/>
      <c r="D888" s="13"/>
      <c r="E888" s="13"/>
      <c r="F888" s="13"/>
      <c r="G888" s="13"/>
    </row>
    <row r="889" spans="1:7" ht="16.5" customHeight="1">
      <c r="A889" s="13"/>
      <c r="B889" s="13"/>
      <c r="C889" s="13"/>
      <c r="D889" s="13"/>
      <c r="E889" s="13"/>
      <c r="F889" s="13"/>
      <c r="G889" s="13"/>
    </row>
    <row r="890" spans="1:7" ht="16.5" customHeight="1">
      <c r="A890" s="13"/>
      <c r="B890" s="13"/>
      <c r="C890" s="13"/>
      <c r="D890" s="13"/>
      <c r="E890" s="13"/>
      <c r="F890" s="13"/>
      <c r="G890" s="13"/>
    </row>
    <row r="891" spans="1:7" ht="16.5" customHeight="1">
      <c r="A891" s="13"/>
      <c r="B891" s="13"/>
      <c r="C891" s="13"/>
      <c r="D891" s="13"/>
      <c r="E891" s="13"/>
      <c r="F891" s="13"/>
      <c r="G891" s="13"/>
    </row>
    <row r="892" spans="1:7" ht="16.5" customHeight="1">
      <c r="A892" s="13"/>
      <c r="B892" s="13"/>
      <c r="C892" s="13"/>
      <c r="D892" s="13"/>
      <c r="E892" s="13"/>
      <c r="F892" s="13"/>
      <c r="G892" s="13"/>
    </row>
    <row r="893" spans="1:7" ht="16.5" customHeight="1">
      <c r="A893" s="13"/>
      <c r="B893" s="13"/>
      <c r="C893" s="13"/>
      <c r="D893" s="13"/>
      <c r="E893" s="13"/>
      <c r="F893" s="13"/>
      <c r="G893" s="13"/>
    </row>
    <row r="894" spans="1:7" ht="16.5" customHeight="1">
      <c r="A894" s="13"/>
      <c r="B894" s="13"/>
      <c r="C894" s="13"/>
      <c r="D894" s="13"/>
      <c r="E894" s="13"/>
      <c r="F894" s="13"/>
      <c r="G894" s="13"/>
    </row>
    <row r="895" spans="1:7" ht="16.5" customHeight="1">
      <c r="A895" s="13"/>
      <c r="B895" s="13"/>
      <c r="C895" s="13"/>
      <c r="D895" s="13"/>
      <c r="E895" s="13"/>
      <c r="F895" s="13"/>
      <c r="G895" s="13"/>
    </row>
    <row r="896" spans="1:7" ht="16.5" customHeight="1">
      <c r="A896" s="13"/>
      <c r="B896" s="13"/>
      <c r="C896" s="13"/>
      <c r="D896" s="13"/>
      <c r="E896" s="13"/>
      <c r="F896" s="13"/>
      <c r="G896" s="13"/>
    </row>
    <row r="897" spans="1:7" ht="16.5" customHeight="1">
      <c r="A897" s="13"/>
      <c r="B897" s="13"/>
      <c r="C897" s="13"/>
      <c r="D897" s="13"/>
      <c r="E897" s="13"/>
      <c r="F897" s="13"/>
      <c r="G897" s="13"/>
    </row>
    <row r="898" spans="1:7" ht="16.5" customHeight="1">
      <c r="A898" s="13"/>
      <c r="B898" s="13"/>
      <c r="C898" s="13"/>
      <c r="D898" s="13"/>
      <c r="E898" s="13"/>
      <c r="F898" s="13"/>
      <c r="G898" s="13"/>
    </row>
    <row r="899" spans="1:7" ht="16.5" customHeight="1">
      <c r="A899" s="13"/>
      <c r="B899" s="13"/>
      <c r="C899" s="13"/>
      <c r="D899" s="13"/>
      <c r="E899" s="13"/>
      <c r="F899" s="13"/>
      <c r="G899" s="13"/>
    </row>
    <row r="900" spans="1:7" ht="16.5" customHeight="1">
      <c r="A900" s="13"/>
      <c r="B900" s="13"/>
      <c r="C900" s="13"/>
      <c r="D900" s="13"/>
      <c r="E900" s="13"/>
      <c r="F900" s="13"/>
      <c r="G900" s="13"/>
    </row>
    <row r="901" spans="1:7" ht="16.5" customHeight="1">
      <c r="A901" s="13"/>
      <c r="B901" s="13"/>
      <c r="C901" s="13"/>
      <c r="D901" s="13"/>
      <c r="E901" s="13"/>
      <c r="F901" s="13"/>
      <c r="G901" s="13"/>
    </row>
    <row r="902" spans="1:7" ht="16.5" customHeight="1">
      <c r="A902" s="13"/>
      <c r="B902" s="13"/>
      <c r="C902" s="13"/>
      <c r="D902" s="13"/>
      <c r="E902" s="13"/>
      <c r="F902" s="13"/>
      <c r="G902" s="13"/>
    </row>
    <row r="903" spans="1:7" ht="16.5" customHeight="1">
      <c r="A903" s="13"/>
      <c r="B903" s="13"/>
      <c r="C903" s="13"/>
      <c r="D903" s="13"/>
      <c r="E903" s="13"/>
      <c r="F903" s="13"/>
      <c r="G903" s="13"/>
    </row>
    <row r="904" spans="1:7" ht="16.5" customHeight="1">
      <c r="A904" s="13"/>
      <c r="B904" s="13"/>
      <c r="C904" s="13"/>
      <c r="D904" s="13"/>
      <c r="E904" s="13"/>
      <c r="F904" s="13"/>
      <c r="G904" s="13"/>
    </row>
    <row r="905" spans="1:7" ht="16.5" customHeight="1">
      <c r="A905" s="13"/>
      <c r="B905" s="13"/>
      <c r="C905" s="13"/>
      <c r="D905" s="13"/>
      <c r="E905" s="13"/>
      <c r="F905" s="13"/>
      <c r="G905" s="13"/>
    </row>
    <row r="906" spans="1:7" ht="16.5" customHeight="1">
      <c r="A906" s="13"/>
      <c r="B906" s="13"/>
      <c r="C906" s="13"/>
      <c r="D906" s="13"/>
      <c r="E906" s="13"/>
      <c r="F906" s="13"/>
      <c r="G906" s="13"/>
    </row>
    <row r="907" spans="1:7" ht="16.5" customHeight="1">
      <c r="A907" s="13"/>
      <c r="B907" s="13"/>
      <c r="C907" s="13"/>
      <c r="D907" s="13"/>
      <c r="E907" s="13"/>
      <c r="F907" s="13"/>
      <c r="G907" s="13"/>
    </row>
    <row r="908" spans="1:7" ht="16.5" customHeight="1">
      <c r="A908" s="13"/>
      <c r="B908" s="13"/>
      <c r="C908" s="13"/>
      <c r="D908" s="13"/>
      <c r="E908" s="13"/>
      <c r="F908" s="13"/>
      <c r="G908" s="13"/>
    </row>
    <row r="909" spans="1:7" ht="16.5" customHeight="1">
      <c r="A909" s="13"/>
      <c r="B909" s="13"/>
      <c r="C909" s="13"/>
      <c r="D909" s="13"/>
      <c r="E909" s="13"/>
      <c r="F909" s="13"/>
      <c r="G909" s="13"/>
    </row>
    <row r="910" spans="1:7" ht="16.5" customHeight="1">
      <c r="A910" s="13"/>
      <c r="B910" s="13"/>
      <c r="C910" s="13"/>
      <c r="D910" s="13"/>
      <c r="E910" s="13"/>
      <c r="F910" s="13"/>
      <c r="G910" s="13"/>
    </row>
    <row r="911" spans="1:7" ht="16.5" customHeight="1">
      <c r="A911" s="13"/>
      <c r="B911" s="13"/>
      <c r="C911" s="13"/>
      <c r="D911" s="13"/>
      <c r="E911" s="13"/>
      <c r="F911" s="13"/>
      <c r="G911" s="13"/>
    </row>
    <row r="912" spans="1:7" ht="16.5" customHeight="1">
      <c r="A912" s="13"/>
      <c r="B912" s="13"/>
      <c r="C912" s="13"/>
      <c r="D912" s="13"/>
      <c r="E912" s="13"/>
      <c r="F912" s="13"/>
      <c r="G912" s="13"/>
    </row>
    <row r="913" spans="1:7" ht="16.5" customHeight="1">
      <c r="A913" s="13"/>
      <c r="B913" s="13"/>
      <c r="C913" s="13"/>
      <c r="D913" s="13"/>
      <c r="E913" s="13"/>
      <c r="F913" s="13"/>
      <c r="G913" s="13"/>
    </row>
    <row r="914" spans="1:7" ht="16.5" customHeight="1">
      <c r="A914" s="13"/>
      <c r="B914" s="13"/>
      <c r="C914" s="13"/>
      <c r="D914" s="13"/>
      <c r="E914" s="13"/>
      <c r="F914" s="13"/>
      <c r="G914" s="13"/>
    </row>
    <row r="915" spans="1:7" ht="16.5" customHeight="1">
      <c r="A915" s="13"/>
      <c r="B915" s="13"/>
      <c r="C915" s="13"/>
      <c r="D915" s="13"/>
      <c r="E915" s="13"/>
      <c r="F915" s="13"/>
      <c r="G915" s="13"/>
    </row>
    <row r="916" spans="1:7" ht="16.5" customHeight="1">
      <c r="A916" s="13"/>
      <c r="B916" s="13"/>
      <c r="C916" s="13"/>
      <c r="D916" s="13"/>
      <c r="E916" s="13"/>
      <c r="F916" s="13"/>
      <c r="G916" s="13"/>
    </row>
    <row r="917" spans="1:7" ht="16.5" customHeight="1">
      <c r="A917" s="13"/>
      <c r="B917" s="13"/>
      <c r="C917" s="13"/>
      <c r="D917" s="13"/>
      <c r="E917" s="13"/>
      <c r="F917" s="13"/>
      <c r="G917" s="13"/>
    </row>
    <row r="918" spans="1:7" ht="16.5" customHeight="1">
      <c r="A918" s="13"/>
      <c r="B918" s="13"/>
      <c r="C918" s="13"/>
      <c r="D918" s="13"/>
      <c r="E918" s="13"/>
      <c r="F918" s="13"/>
      <c r="G918" s="13"/>
    </row>
    <row r="919" spans="1:7" ht="16.5" customHeight="1">
      <c r="A919" s="13"/>
      <c r="B919" s="13"/>
      <c r="C919" s="13"/>
      <c r="D919" s="13"/>
      <c r="E919" s="13"/>
      <c r="F919" s="13"/>
      <c r="G919" s="13"/>
    </row>
    <row r="920" spans="1:7" ht="16.5" customHeight="1">
      <c r="A920" s="13"/>
      <c r="B920" s="13"/>
      <c r="C920" s="13"/>
      <c r="D920" s="13"/>
      <c r="E920" s="13"/>
      <c r="F920" s="13"/>
      <c r="G920" s="13"/>
    </row>
    <row r="921" spans="1:7" ht="16.5" customHeight="1">
      <c r="A921" s="13"/>
      <c r="B921" s="13"/>
      <c r="C921" s="13"/>
      <c r="D921" s="13"/>
      <c r="E921" s="13"/>
      <c r="F921" s="13"/>
      <c r="G921" s="13"/>
    </row>
    <row r="922" spans="1:7" ht="16.5" customHeight="1">
      <c r="A922" s="13"/>
      <c r="B922" s="13"/>
      <c r="C922" s="13"/>
      <c r="D922" s="13"/>
      <c r="E922" s="13"/>
      <c r="F922" s="13"/>
      <c r="G922" s="13"/>
    </row>
    <row r="923" spans="1:7" ht="16.5" customHeight="1">
      <c r="A923" s="13"/>
      <c r="B923" s="13"/>
      <c r="C923" s="13"/>
      <c r="D923" s="13"/>
      <c r="E923" s="13"/>
      <c r="F923" s="13"/>
      <c r="G923" s="13"/>
    </row>
    <row r="924" spans="1:7" ht="16.5" customHeight="1">
      <c r="A924" s="13"/>
      <c r="B924" s="13"/>
      <c r="C924" s="13"/>
      <c r="D924" s="13"/>
      <c r="E924" s="13"/>
      <c r="F924" s="13"/>
      <c r="G924" s="13"/>
    </row>
    <row r="925" spans="1:7" ht="16.5" customHeight="1">
      <c r="A925" s="13"/>
      <c r="B925" s="13"/>
      <c r="C925" s="13"/>
      <c r="D925" s="13"/>
      <c r="E925" s="13"/>
      <c r="F925" s="13"/>
      <c r="G925" s="13"/>
    </row>
    <row r="926" spans="1:7" ht="16.5" customHeight="1">
      <c r="A926" s="13"/>
      <c r="B926" s="13"/>
      <c r="C926" s="13"/>
      <c r="D926" s="13"/>
      <c r="E926" s="13"/>
      <c r="F926" s="13"/>
      <c r="G926" s="13"/>
    </row>
    <row r="927" spans="1:7" ht="16.5" customHeight="1">
      <c r="A927" s="13"/>
      <c r="B927" s="13"/>
      <c r="C927" s="13"/>
      <c r="D927" s="13"/>
      <c r="E927" s="13"/>
      <c r="F927" s="13"/>
      <c r="G927" s="13"/>
    </row>
    <row r="928" spans="1:7" ht="16.5" customHeight="1">
      <c r="A928" s="13"/>
      <c r="B928" s="13"/>
      <c r="C928" s="13"/>
      <c r="D928" s="13"/>
      <c r="E928" s="13"/>
      <c r="F928" s="13"/>
      <c r="G928" s="13"/>
    </row>
    <row r="929" spans="1:7" ht="16.5" customHeight="1">
      <c r="A929" s="13"/>
      <c r="B929" s="13"/>
      <c r="C929" s="13"/>
      <c r="D929" s="13"/>
      <c r="E929" s="13"/>
      <c r="F929" s="13"/>
      <c r="G929" s="13"/>
    </row>
    <row r="930" spans="1:7" ht="16.5" customHeight="1">
      <c r="A930" s="13"/>
      <c r="B930" s="13"/>
      <c r="C930" s="13"/>
      <c r="D930" s="13"/>
      <c r="E930" s="13"/>
      <c r="F930" s="13"/>
      <c r="G930" s="13"/>
    </row>
    <row r="931" spans="1:7" ht="16.5" customHeight="1">
      <c r="A931" s="13"/>
      <c r="B931" s="13"/>
      <c r="C931" s="13"/>
      <c r="D931" s="13"/>
      <c r="E931" s="13"/>
      <c r="F931" s="13"/>
      <c r="G931" s="13"/>
    </row>
    <row r="932" spans="1:7" ht="16.5" customHeight="1">
      <c r="A932" s="13"/>
      <c r="B932" s="13"/>
      <c r="C932" s="13"/>
      <c r="D932" s="13"/>
      <c r="E932" s="13"/>
      <c r="F932" s="13"/>
      <c r="G932" s="13"/>
    </row>
    <row r="933" spans="1:7" ht="16.5" customHeight="1">
      <c r="A933" s="13"/>
      <c r="B933" s="13"/>
      <c r="C933" s="13"/>
      <c r="D933" s="13"/>
      <c r="E933" s="13"/>
      <c r="F933" s="13"/>
      <c r="G933" s="13"/>
    </row>
    <row r="934" spans="1:7" ht="16.5" customHeight="1">
      <c r="A934" s="13"/>
      <c r="B934" s="13"/>
      <c r="C934" s="13"/>
      <c r="D934" s="13"/>
      <c r="E934" s="13"/>
      <c r="F934" s="13"/>
      <c r="G934" s="13"/>
    </row>
    <row r="935" spans="1:7" ht="16.5" customHeight="1">
      <c r="A935" s="13"/>
      <c r="B935" s="13"/>
      <c r="C935" s="13"/>
      <c r="D935" s="13"/>
      <c r="E935" s="13"/>
      <c r="F935" s="13"/>
      <c r="G935" s="13"/>
    </row>
    <row r="936" spans="1:7" ht="16.5" customHeight="1">
      <c r="A936" s="13"/>
      <c r="B936" s="13"/>
      <c r="C936" s="13"/>
      <c r="D936" s="13"/>
      <c r="E936" s="13"/>
      <c r="F936" s="13"/>
      <c r="G936" s="13"/>
    </row>
    <row r="937" spans="1:7" ht="16.5" customHeight="1">
      <c r="A937" s="13"/>
      <c r="B937" s="13"/>
      <c r="C937" s="13"/>
      <c r="D937" s="13"/>
      <c r="E937" s="13"/>
      <c r="F937" s="13"/>
      <c r="G937" s="13"/>
    </row>
    <row r="938" spans="1:7" ht="16.5" customHeight="1">
      <c r="A938" s="13"/>
      <c r="B938" s="13"/>
      <c r="C938" s="13"/>
      <c r="D938" s="13"/>
      <c r="E938" s="13"/>
      <c r="F938" s="13"/>
      <c r="G938" s="13"/>
    </row>
    <row r="939" spans="1:7" ht="16.5" customHeight="1">
      <c r="A939" s="13"/>
      <c r="B939" s="13"/>
      <c r="C939" s="13"/>
      <c r="D939" s="13"/>
      <c r="E939" s="13"/>
      <c r="F939" s="13"/>
      <c r="G939" s="13"/>
    </row>
    <row r="940" spans="1:7" ht="16.5" customHeight="1">
      <c r="A940" s="13"/>
      <c r="B940" s="13"/>
      <c r="C940" s="13"/>
      <c r="D940" s="13"/>
      <c r="E940" s="13"/>
      <c r="F940" s="13"/>
      <c r="G940" s="13"/>
    </row>
    <row r="941" spans="1:7" ht="16.5" customHeight="1">
      <c r="A941" s="13"/>
      <c r="B941" s="13"/>
      <c r="C941" s="13"/>
      <c r="D941" s="13"/>
      <c r="E941" s="13"/>
      <c r="F941" s="13"/>
      <c r="G941" s="13"/>
    </row>
    <row r="942" spans="1:7" ht="16.5" customHeight="1">
      <c r="A942" s="13"/>
      <c r="B942" s="13"/>
      <c r="C942" s="13"/>
      <c r="D942" s="13"/>
      <c r="E942" s="13"/>
      <c r="F942" s="13"/>
      <c r="G942" s="13"/>
    </row>
    <row r="943" spans="1:7" ht="16.5" customHeight="1">
      <c r="A943" s="13"/>
      <c r="B943" s="13"/>
      <c r="C943" s="13"/>
      <c r="D943" s="13"/>
      <c r="E943" s="13"/>
      <c r="F943" s="13"/>
      <c r="G943" s="13"/>
    </row>
    <row r="944" spans="1:7" ht="16.5" customHeight="1">
      <c r="A944" s="13"/>
      <c r="B944" s="13"/>
      <c r="C944" s="13"/>
      <c r="D944" s="13"/>
      <c r="E944" s="13"/>
      <c r="F944" s="13"/>
      <c r="G944" s="13"/>
    </row>
    <row r="945" spans="1:7" ht="16.5" customHeight="1">
      <c r="A945" s="13"/>
      <c r="B945" s="13"/>
      <c r="C945" s="13"/>
      <c r="D945" s="13"/>
      <c r="E945" s="13"/>
      <c r="F945" s="13"/>
      <c r="G945" s="13"/>
    </row>
    <row r="946" spans="1:7" ht="16.5" customHeight="1">
      <c r="A946" s="13"/>
      <c r="B946" s="13"/>
      <c r="C946" s="13"/>
      <c r="D946" s="13"/>
      <c r="E946" s="13"/>
      <c r="F946" s="13"/>
      <c r="G946" s="13"/>
    </row>
    <row r="947" spans="1:7" ht="16.5" customHeight="1">
      <c r="A947" s="13"/>
      <c r="B947" s="13"/>
      <c r="C947" s="13"/>
      <c r="D947" s="13"/>
      <c r="E947" s="13"/>
      <c r="F947" s="13"/>
      <c r="G947" s="13"/>
    </row>
    <row r="948" spans="1:7" ht="16.5" customHeight="1">
      <c r="A948" s="13"/>
      <c r="B948" s="13"/>
      <c r="C948" s="13"/>
      <c r="D948" s="13"/>
      <c r="E948" s="13"/>
      <c r="F948" s="13"/>
      <c r="G948" s="13"/>
    </row>
    <row r="949" spans="1:7" ht="16.5" customHeight="1">
      <c r="A949" s="13"/>
      <c r="B949" s="13"/>
      <c r="C949" s="13"/>
      <c r="D949" s="13"/>
      <c r="E949" s="13"/>
      <c r="F949" s="13"/>
      <c r="G949" s="13"/>
    </row>
    <row r="950" spans="1:7" ht="16.5" customHeight="1">
      <c r="A950" s="13"/>
      <c r="B950" s="13"/>
      <c r="C950" s="13"/>
      <c r="D950" s="13"/>
      <c r="E950" s="13"/>
      <c r="F950" s="13"/>
      <c r="G950" s="13"/>
    </row>
    <row r="951" spans="1:7" ht="16.5" customHeight="1">
      <c r="A951" s="13"/>
      <c r="B951" s="13"/>
      <c r="C951" s="13"/>
      <c r="D951" s="13"/>
      <c r="E951" s="13"/>
      <c r="F951" s="13"/>
      <c r="G951" s="13"/>
    </row>
    <row r="952" spans="1:7" ht="16.5" customHeight="1">
      <c r="A952" s="13"/>
      <c r="B952" s="13"/>
      <c r="C952" s="13"/>
      <c r="D952" s="13"/>
      <c r="E952" s="13"/>
      <c r="F952" s="13"/>
      <c r="G952" s="13"/>
    </row>
    <row r="953" spans="1:7" ht="16.5" customHeight="1">
      <c r="A953" s="13"/>
      <c r="B953" s="13"/>
      <c r="C953" s="13"/>
      <c r="D953" s="13"/>
      <c r="E953" s="13"/>
      <c r="F953" s="13"/>
      <c r="G953" s="13"/>
    </row>
    <row r="954" spans="1:7" ht="16.5" customHeight="1">
      <c r="A954" s="13"/>
      <c r="B954" s="13"/>
      <c r="C954" s="13"/>
      <c r="D954" s="13"/>
      <c r="E954" s="13"/>
      <c r="F954" s="13"/>
      <c r="G954" s="13"/>
    </row>
    <row r="955" spans="1:7" ht="16.5" customHeight="1">
      <c r="A955" s="13"/>
      <c r="B955" s="13"/>
      <c r="C955" s="13"/>
      <c r="D955" s="13"/>
      <c r="E955" s="13"/>
      <c r="F955" s="13"/>
      <c r="G955" s="13"/>
    </row>
    <row r="956" spans="1:7" ht="16.5" customHeight="1">
      <c r="A956" s="13"/>
      <c r="B956" s="13"/>
      <c r="C956" s="13"/>
      <c r="D956" s="13"/>
      <c r="E956" s="13"/>
      <c r="F956" s="13"/>
      <c r="G956" s="13"/>
    </row>
    <row r="957" spans="1:7" ht="16.5" customHeight="1">
      <c r="A957" s="13"/>
      <c r="B957" s="13"/>
      <c r="C957" s="13"/>
      <c r="D957" s="13"/>
      <c r="E957" s="13"/>
      <c r="F957" s="13"/>
      <c r="G957" s="13"/>
    </row>
    <row r="958" spans="1:7" ht="16.5" customHeight="1">
      <c r="A958" s="13"/>
      <c r="B958" s="13"/>
      <c r="C958" s="13"/>
      <c r="D958" s="13"/>
      <c r="E958" s="13"/>
      <c r="F958" s="13"/>
      <c r="G958" s="13"/>
    </row>
    <row r="959" spans="1:7" ht="16.5" customHeight="1">
      <c r="A959" s="13"/>
      <c r="B959" s="13"/>
      <c r="C959" s="13"/>
      <c r="D959" s="13"/>
      <c r="E959" s="13"/>
      <c r="F959" s="13"/>
      <c r="G959" s="13"/>
    </row>
    <row r="960" spans="1:7" ht="16.5" customHeight="1">
      <c r="A960" s="13"/>
      <c r="B960" s="13"/>
      <c r="C960" s="13"/>
      <c r="D960" s="13"/>
      <c r="E960" s="13"/>
      <c r="F960" s="13"/>
      <c r="G960" s="13"/>
    </row>
    <row r="961" spans="1:7" ht="16.5" customHeight="1">
      <c r="A961" s="13"/>
      <c r="B961" s="13"/>
      <c r="C961" s="13"/>
      <c r="D961" s="13"/>
      <c r="E961" s="13"/>
      <c r="F961" s="13"/>
      <c r="G961" s="13"/>
    </row>
    <row r="962" spans="1:7" ht="16.5" customHeight="1">
      <c r="A962" s="13"/>
      <c r="B962" s="13"/>
      <c r="C962" s="13"/>
      <c r="D962" s="13"/>
      <c r="E962" s="13"/>
      <c r="F962" s="13"/>
      <c r="G962" s="13"/>
    </row>
    <row r="963" spans="1:7" ht="16.5" customHeight="1">
      <c r="A963" s="13"/>
      <c r="B963" s="13"/>
      <c r="C963" s="13"/>
      <c r="D963" s="13"/>
      <c r="E963" s="13"/>
      <c r="F963" s="13"/>
      <c r="G963" s="13"/>
    </row>
    <row r="964" spans="1:7" ht="16.5" customHeight="1">
      <c r="A964" s="13"/>
      <c r="B964" s="13"/>
      <c r="C964" s="13"/>
      <c r="D964" s="13"/>
      <c r="E964" s="13"/>
      <c r="F964" s="13"/>
      <c r="G964" s="13"/>
    </row>
    <row r="965" spans="1:7" ht="16.5" customHeight="1">
      <c r="A965" s="13"/>
      <c r="B965" s="13"/>
      <c r="C965" s="13"/>
      <c r="D965" s="13"/>
      <c r="E965" s="13"/>
      <c r="F965" s="13"/>
      <c r="G965" s="13"/>
    </row>
    <row r="966" spans="1:7" ht="16.5" customHeight="1">
      <c r="A966" s="13"/>
      <c r="B966" s="13"/>
      <c r="C966" s="13"/>
      <c r="D966" s="13"/>
      <c r="E966" s="13"/>
      <c r="F966" s="13"/>
      <c r="G966" s="13"/>
    </row>
    <row r="967" spans="1:7" ht="16.5" customHeight="1">
      <c r="A967" s="13"/>
      <c r="B967" s="13"/>
      <c r="C967" s="13"/>
      <c r="D967" s="13"/>
      <c r="E967" s="13"/>
      <c r="F967" s="13"/>
      <c r="G967" s="13"/>
    </row>
    <row r="968" spans="1:7" ht="16.5" customHeight="1">
      <c r="A968" s="13"/>
      <c r="B968" s="13"/>
      <c r="C968" s="13"/>
      <c r="D968" s="13"/>
      <c r="E968" s="13"/>
      <c r="F968" s="13"/>
      <c r="G968" s="13"/>
    </row>
    <row r="969" spans="1:7" ht="16.5" customHeight="1">
      <c r="A969" s="13"/>
      <c r="B969" s="13"/>
      <c r="C969" s="13"/>
      <c r="D969" s="13"/>
      <c r="E969" s="13"/>
      <c r="F969" s="13"/>
      <c r="G969" s="13"/>
    </row>
    <row r="970" spans="1:7" ht="16.5" customHeight="1">
      <c r="A970" s="13"/>
      <c r="B970" s="13"/>
      <c r="C970" s="13"/>
      <c r="D970" s="13"/>
      <c r="E970" s="13"/>
      <c r="F970" s="13"/>
      <c r="G970" s="13"/>
    </row>
    <row r="971" spans="1:7" ht="16.5" customHeight="1">
      <c r="A971" s="13"/>
      <c r="B971" s="13"/>
      <c r="C971" s="13"/>
      <c r="D971" s="13"/>
      <c r="E971" s="13"/>
      <c r="F971" s="13"/>
      <c r="G971" s="13"/>
    </row>
    <row r="972" spans="1:7" ht="16.5" customHeight="1">
      <c r="A972" s="13"/>
      <c r="B972" s="13"/>
      <c r="C972" s="13"/>
      <c r="D972" s="13"/>
      <c r="E972" s="13"/>
      <c r="F972" s="13"/>
      <c r="G972" s="13"/>
    </row>
    <row r="973" spans="1:7" ht="16.5" customHeight="1">
      <c r="A973" s="13"/>
      <c r="B973" s="13"/>
      <c r="C973" s="13"/>
      <c r="D973" s="13"/>
      <c r="E973" s="13"/>
      <c r="F973" s="13"/>
      <c r="G973" s="13"/>
    </row>
    <row r="974" spans="1:7" ht="16.5" customHeight="1">
      <c r="A974" s="13"/>
      <c r="B974" s="13"/>
      <c r="C974" s="13"/>
      <c r="D974" s="13"/>
      <c r="E974" s="13"/>
      <c r="F974" s="13"/>
      <c r="G974" s="13"/>
    </row>
    <row r="975" spans="1:7" ht="16.5" customHeight="1">
      <c r="A975" s="13"/>
      <c r="B975" s="13"/>
      <c r="C975" s="13"/>
      <c r="D975" s="13"/>
      <c r="E975" s="13"/>
      <c r="F975" s="13"/>
      <c r="G975" s="13"/>
    </row>
    <row r="976" spans="1:7" ht="16.5" customHeight="1">
      <c r="A976" s="13"/>
      <c r="B976" s="13"/>
      <c r="C976" s="13"/>
      <c r="D976" s="13"/>
      <c r="E976" s="13"/>
      <c r="F976" s="13"/>
      <c r="G976" s="13"/>
    </row>
    <row r="977" spans="1:7" ht="16.5" customHeight="1">
      <c r="A977" s="13"/>
      <c r="B977" s="13"/>
      <c r="C977" s="13"/>
      <c r="D977" s="13"/>
      <c r="E977" s="13"/>
      <c r="F977" s="13"/>
      <c r="G977" s="13"/>
    </row>
    <row r="978" spans="1:7" ht="16.5" customHeight="1">
      <c r="A978" s="13"/>
      <c r="B978" s="13"/>
      <c r="C978" s="13"/>
      <c r="D978" s="13"/>
      <c r="E978" s="13"/>
      <c r="F978" s="13"/>
      <c r="G978" s="13"/>
    </row>
    <row r="979" spans="1:7" ht="16.5" customHeight="1">
      <c r="A979" s="13"/>
      <c r="B979" s="13"/>
      <c r="C979" s="13"/>
      <c r="D979" s="13"/>
      <c r="E979" s="13"/>
      <c r="F979" s="13"/>
      <c r="G979" s="13"/>
    </row>
    <row r="980" spans="1:7" ht="16.5" customHeight="1">
      <c r="A980" s="13"/>
      <c r="B980" s="13"/>
      <c r="C980" s="13"/>
      <c r="D980" s="13"/>
      <c r="E980" s="13"/>
      <c r="F980" s="13"/>
      <c r="G980" s="13"/>
    </row>
    <row r="981" spans="1:7" ht="16.5" customHeight="1">
      <c r="A981" s="13"/>
      <c r="B981" s="13"/>
      <c r="C981" s="13"/>
      <c r="D981" s="13"/>
      <c r="E981" s="13"/>
      <c r="F981" s="13"/>
      <c r="G981" s="13"/>
    </row>
    <row r="982" spans="1:7" ht="16.5" customHeight="1">
      <c r="A982" s="13"/>
      <c r="B982" s="13"/>
      <c r="C982" s="13"/>
      <c r="D982" s="13"/>
      <c r="E982" s="13"/>
      <c r="F982" s="13"/>
      <c r="G982" s="13"/>
    </row>
    <row r="983" spans="1:7" ht="16.5" customHeight="1">
      <c r="A983" s="13"/>
      <c r="B983" s="13"/>
      <c r="C983" s="13"/>
      <c r="D983" s="13"/>
      <c r="E983" s="13"/>
      <c r="F983" s="13"/>
      <c r="G983" s="13"/>
    </row>
    <row r="984" spans="1:7" ht="16.5" customHeight="1">
      <c r="A984" s="13"/>
      <c r="B984" s="13"/>
      <c r="C984" s="13"/>
      <c r="D984" s="13"/>
      <c r="E984" s="13"/>
      <c r="F984" s="13"/>
      <c r="G984" s="13"/>
    </row>
    <row r="985" spans="1:7" ht="16.5" customHeight="1">
      <c r="A985" s="13"/>
      <c r="B985" s="13"/>
      <c r="C985" s="13"/>
      <c r="D985" s="13"/>
      <c r="E985" s="13"/>
      <c r="F985" s="13"/>
      <c r="G985" s="13"/>
    </row>
    <row r="986" spans="1:7" ht="16.5" customHeight="1">
      <c r="A986" s="13"/>
      <c r="B986" s="13"/>
      <c r="C986" s="13"/>
      <c r="D986" s="13"/>
      <c r="E986" s="13"/>
      <c r="F986" s="13"/>
      <c r="G986" s="13"/>
    </row>
    <row r="987" spans="1:7" ht="16.5" customHeight="1">
      <c r="A987" s="13"/>
      <c r="B987" s="13"/>
      <c r="C987" s="13"/>
      <c r="D987" s="13"/>
      <c r="E987" s="13"/>
      <c r="F987" s="13"/>
      <c r="G987" s="13"/>
    </row>
    <row r="988" spans="1:7" ht="16.5" customHeight="1">
      <c r="A988" s="13"/>
      <c r="B988" s="13"/>
      <c r="C988" s="13"/>
      <c r="D988" s="13"/>
      <c r="E988" s="13"/>
      <c r="F988" s="13"/>
      <c r="G988" s="13"/>
    </row>
    <row r="989" spans="1:7" ht="16.5" customHeight="1">
      <c r="A989" s="13"/>
      <c r="B989" s="13"/>
      <c r="C989" s="13"/>
      <c r="D989" s="13"/>
      <c r="E989" s="13"/>
      <c r="F989" s="13"/>
      <c r="G989" s="13"/>
    </row>
    <row r="990" spans="1:7" ht="16.5" customHeight="1">
      <c r="A990" s="13"/>
      <c r="B990" s="13"/>
      <c r="C990" s="13"/>
      <c r="D990" s="13"/>
      <c r="E990" s="13"/>
      <c r="F990" s="13"/>
      <c r="G990" s="13"/>
    </row>
    <row r="991" spans="1:7" ht="16.5" customHeight="1">
      <c r="A991" s="13"/>
      <c r="B991" s="13"/>
      <c r="C991" s="13"/>
      <c r="D991" s="13"/>
      <c r="E991" s="13"/>
      <c r="F991" s="13"/>
      <c r="G991" s="13"/>
    </row>
    <row r="992" spans="1:7" ht="16.5" customHeight="1">
      <c r="A992" s="13"/>
      <c r="B992" s="13"/>
      <c r="C992" s="13"/>
      <c r="D992" s="13"/>
      <c r="E992" s="13"/>
      <c r="F992" s="13"/>
      <c r="G992" s="13"/>
    </row>
    <row r="993" spans="1:7" ht="16.5" customHeight="1">
      <c r="A993" s="13"/>
      <c r="B993" s="13"/>
      <c r="C993" s="13"/>
      <c r="D993" s="13"/>
      <c r="E993" s="13"/>
      <c r="F993" s="13"/>
      <c r="G993" s="13"/>
    </row>
    <row r="994" spans="1:7" ht="16.5" customHeight="1">
      <c r="A994" s="13"/>
      <c r="B994" s="13"/>
      <c r="C994" s="13"/>
      <c r="D994" s="13"/>
      <c r="E994" s="13"/>
      <c r="F994" s="13"/>
      <c r="G994" s="13"/>
    </row>
    <row r="995" spans="1:7" ht="16.5" customHeight="1">
      <c r="A995" s="13"/>
      <c r="B995" s="13"/>
      <c r="C995" s="13"/>
      <c r="D995" s="13"/>
      <c r="E995" s="13"/>
      <c r="F995" s="13"/>
      <c r="G995" s="13"/>
    </row>
    <row r="996" spans="1:7" ht="16.5" customHeight="1">
      <c r="A996" s="13"/>
      <c r="B996" s="13"/>
      <c r="C996" s="13"/>
      <c r="D996" s="13"/>
      <c r="E996" s="13"/>
      <c r="F996" s="13"/>
      <c r="G996" s="13"/>
    </row>
    <row r="997" spans="1:7" ht="16.5" customHeight="1">
      <c r="A997" s="13"/>
      <c r="B997" s="13"/>
      <c r="C997" s="13"/>
      <c r="D997" s="13"/>
      <c r="E997" s="13"/>
      <c r="F997" s="13"/>
      <c r="G997" s="13"/>
    </row>
    <row r="998" spans="1:7" ht="16.5" customHeight="1">
      <c r="A998" s="13"/>
      <c r="B998" s="13"/>
      <c r="C998" s="13"/>
      <c r="D998" s="13"/>
      <c r="E998" s="13"/>
      <c r="F998" s="13"/>
      <c r="G998" s="13"/>
    </row>
    <row r="999" spans="1:7" ht="16.5" customHeight="1">
      <c r="A999" s="13"/>
      <c r="B999" s="13"/>
      <c r="C999" s="13"/>
      <c r="D999" s="13"/>
      <c r="E999" s="13"/>
      <c r="F999" s="13"/>
      <c r="G999" s="13"/>
    </row>
    <row r="1000" spans="1:7" ht="16.5" customHeight="1">
      <c r="A1000" s="13"/>
      <c r="B1000" s="13"/>
      <c r="C1000" s="13"/>
      <c r="D1000" s="13"/>
      <c r="E1000" s="13"/>
      <c r="F1000" s="13"/>
      <c r="G1000" s="13"/>
    </row>
  </sheetData>
  <mergeCells count="83">
    <mergeCell ref="B33:B36"/>
    <mergeCell ref="C33:C36"/>
    <mergeCell ref="D33:D36"/>
    <mergeCell ref="C37:C38"/>
    <mergeCell ref="D37:D38"/>
    <mergeCell ref="B37:B38"/>
    <mergeCell ref="B39:B40"/>
    <mergeCell ref="C39:C40"/>
    <mergeCell ref="D39:D40"/>
    <mergeCell ref="C41:C44"/>
    <mergeCell ref="D41:D44"/>
    <mergeCell ref="B41:B44"/>
    <mergeCell ref="B52:B53"/>
    <mergeCell ref="C52:C53"/>
    <mergeCell ref="D52:D53"/>
    <mergeCell ref="C49:C50"/>
    <mergeCell ref="D49:D50"/>
    <mergeCell ref="B49:B50"/>
    <mergeCell ref="B45:B46"/>
    <mergeCell ref="C45:C46"/>
    <mergeCell ref="D45:D46"/>
    <mergeCell ref="B47:B48"/>
    <mergeCell ref="C47:C48"/>
    <mergeCell ref="D47:D48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C58:C61"/>
    <mergeCell ref="D58:D61"/>
    <mergeCell ref="B66:B67"/>
    <mergeCell ref="C66:C67"/>
    <mergeCell ref="D66:D6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F2:F4"/>
    <mergeCell ref="A6:A7"/>
    <mergeCell ref="B6:B7"/>
    <mergeCell ref="C6:C7"/>
    <mergeCell ref="D6:D7"/>
    <mergeCell ref="A19:A23"/>
    <mergeCell ref="B19:B23"/>
    <mergeCell ref="C19:C23"/>
    <mergeCell ref="D19:D23"/>
    <mergeCell ref="D24:D32"/>
    <mergeCell ref="B24:B32"/>
    <mergeCell ref="C24:C32"/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</mergeCells>
  <phoneticPr fontId="34" type="noConversion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6.140625" customWidth="1"/>
    <col min="2" max="2" width="18.42578125" customWidth="1"/>
    <col min="3" max="3" width="15.85546875" customWidth="1"/>
    <col min="4" max="4" width="27" customWidth="1"/>
    <col min="5" max="5" width="56.5703125" customWidth="1"/>
    <col min="6" max="6" width="13.42578125" customWidth="1"/>
    <col min="7" max="7" width="29.28515625" customWidth="1"/>
    <col min="8" max="8" width="17.85546875" customWidth="1"/>
    <col min="9" max="9" width="18.5703125" customWidth="1"/>
    <col min="10" max="10" width="9.42578125" customWidth="1"/>
    <col min="11" max="12" width="10.28515625" customWidth="1"/>
    <col min="13" max="18" width="19.140625" customWidth="1"/>
    <col min="19" max="19" width="15.28515625" customWidth="1"/>
    <col min="20" max="20" width="17.28515625" customWidth="1"/>
    <col min="21" max="21" width="20.140625" customWidth="1"/>
    <col min="22" max="26" width="7.85546875" customWidth="1"/>
  </cols>
  <sheetData>
    <row r="1" spans="1:26" ht="14.25" customHeight="1">
      <c r="A1" s="200" t="s">
        <v>1543</v>
      </c>
      <c r="B1" s="201"/>
      <c r="C1" s="201"/>
      <c r="D1" s="201"/>
      <c r="E1" s="14"/>
      <c r="F1" s="15"/>
      <c r="G1" s="14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 t="s">
        <v>722</v>
      </c>
      <c r="V1" s="5"/>
      <c r="W1" s="5"/>
      <c r="X1" s="5"/>
      <c r="Y1" s="5"/>
      <c r="Z1" s="5"/>
    </row>
    <row r="2" spans="1:26" ht="14.25" customHeight="1">
      <c r="A2" s="17"/>
      <c r="B2" s="18"/>
      <c r="C2" s="18"/>
      <c r="D2" s="17"/>
      <c r="E2" s="17"/>
      <c r="F2" s="18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9"/>
      <c r="V2" s="5"/>
      <c r="W2" s="5"/>
      <c r="X2" s="5"/>
      <c r="Y2" s="5"/>
      <c r="Z2" s="5"/>
    </row>
    <row r="3" spans="1:26" ht="14.25" customHeight="1">
      <c r="A3" s="202" t="s">
        <v>722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5"/>
      <c r="W3" s="5"/>
      <c r="X3" s="5"/>
      <c r="Y3" s="5"/>
      <c r="Z3" s="5"/>
    </row>
    <row r="4" spans="1:26" ht="14.25" customHeight="1">
      <c r="A4" s="203" t="s">
        <v>723</v>
      </c>
      <c r="B4" s="204"/>
      <c r="C4" s="204"/>
      <c r="D4" s="204"/>
      <c r="E4" s="204"/>
      <c r="F4" s="204"/>
      <c r="G4" s="198"/>
      <c r="H4" s="203" t="s">
        <v>724</v>
      </c>
      <c r="I4" s="204"/>
      <c r="J4" s="204"/>
      <c r="K4" s="204"/>
      <c r="L4" s="198"/>
      <c r="M4" s="205" t="s">
        <v>725</v>
      </c>
      <c r="N4" s="206"/>
      <c r="O4" s="206"/>
      <c r="P4" s="206"/>
      <c r="Q4" s="206"/>
      <c r="R4" s="206"/>
      <c r="S4" s="206"/>
      <c r="T4" s="207"/>
      <c r="U4" s="20" t="s">
        <v>20</v>
      </c>
      <c r="V4" s="5"/>
      <c r="W4" s="5"/>
      <c r="X4" s="5"/>
      <c r="Y4" s="5"/>
      <c r="Z4" s="5"/>
    </row>
    <row r="5" spans="1:26" ht="14.25" customHeight="1">
      <c r="A5" s="20" t="s">
        <v>726</v>
      </c>
      <c r="B5" s="20" t="s">
        <v>727</v>
      </c>
      <c r="C5" s="199" t="s">
        <v>728</v>
      </c>
      <c r="D5" s="198"/>
      <c r="E5" s="20"/>
      <c r="F5" s="199" t="s">
        <v>729</v>
      </c>
      <c r="G5" s="198"/>
      <c r="H5" s="197" t="s">
        <v>730</v>
      </c>
      <c r="I5" s="198"/>
      <c r="J5" s="199" t="s">
        <v>731</v>
      </c>
      <c r="K5" s="198"/>
      <c r="L5" s="20" t="s">
        <v>732</v>
      </c>
      <c r="M5" s="208"/>
      <c r="N5" s="209"/>
      <c r="O5" s="209"/>
      <c r="P5" s="209"/>
      <c r="Q5" s="209"/>
      <c r="R5" s="209"/>
      <c r="S5" s="209"/>
      <c r="T5" s="210"/>
      <c r="U5" s="20"/>
      <c r="V5" s="5"/>
      <c r="W5" s="5"/>
      <c r="X5" s="5"/>
      <c r="Y5" s="5"/>
      <c r="Z5" s="5"/>
    </row>
    <row r="6" spans="1:26" ht="14.25" customHeight="1">
      <c r="A6" s="20"/>
      <c r="B6" s="20"/>
      <c r="C6" s="21" t="s">
        <v>22</v>
      </c>
      <c r="D6" s="21" t="s">
        <v>733</v>
      </c>
      <c r="E6" s="20" t="s">
        <v>734</v>
      </c>
      <c r="F6" s="20" t="s">
        <v>735</v>
      </c>
      <c r="G6" s="20" t="s">
        <v>736</v>
      </c>
      <c r="H6" s="21" t="s">
        <v>737</v>
      </c>
      <c r="I6" s="20" t="s">
        <v>738</v>
      </c>
      <c r="J6" s="20" t="s">
        <v>739</v>
      </c>
      <c r="K6" s="21" t="s">
        <v>740</v>
      </c>
      <c r="L6" s="20"/>
      <c r="M6" s="21" t="s">
        <v>741</v>
      </c>
      <c r="N6" s="21" t="s">
        <v>742</v>
      </c>
      <c r="O6" s="20" t="s">
        <v>743</v>
      </c>
      <c r="P6" s="20" t="s">
        <v>744</v>
      </c>
      <c r="Q6" s="20" t="s">
        <v>745</v>
      </c>
      <c r="R6" s="20" t="s">
        <v>746</v>
      </c>
      <c r="S6" s="20" t="s">
        <v>747</v>
      </c>
      <c r="T6" s="20" t="s">
        <v>748</v>
      </c>
      <c r="U6" s="20"/>
      <c r="V6" s="22"/>
      <c r="W6" s="22"/>
      <c r="X6" s="22"/>
      <c r="Y6" s="22"/>
      <c r="Z6" s="22"/>
    </row>
    <row r="7" spans="1:26" ht="14.25" customHeight="1">
      <c r="A7" s="23">
        <v>1</v>
      </c>
      <c r="B7" s="24" t="s">
        <v>28</v>
      </c>
      <c r="C7" s="23" t="s">
        <v>64</v>
      </c>
      <c r="D7" s="25" t="s">
        <v>749</v>
      </c>
      <c r="E7" s="26" t="s">
        <v>750</v>
      </c>
      <c r="F7" s="27" t="s">
        <v>751</v>
      </c>
      <c r="G7" s="28" t="s">
        <v>52</v>
      </c>
      <c r="H7" s="29" t="s">
        <v>752</v>
      </c>
      <c r="I7" s="30" t="s">
        <v>753</v>
      </c>
      <c r="J7" s="30"/>
      <c r="K7" s="29"/>
      <c r="L7" s="29"/>
      <c r="M7" s="29"/>
      <c r="N7" s="29"/>
      <c r="O7" s="29"/>
      <c r="P7" s="29"/>
      <c r="Q7" s="29"/>
      <c r="R7" s="29"/>
      <c r="S7" s="30"/>
      <c r="T7" s="30"/>
      <c r="U7" s="31"/>
      <c r="V7" s="5"/>
      <c r="W7" s="5"/>
      <c r="X7" s="5"/>
      <c r="Y7" s="5"/>
      <c r="Z7" s="5"/>
    </row>
    <row r="8" spans="1:26" ht="14.25" customHeight="1">
      <c r="A8" s="23">
        <v>2</v>
      </c>
      <c r="B8" s="24" t="s">
        <v>28</v>
      </c>
      <c r="C8" s="23" t="s">
        <v>85</v>
      </c>
      <c r="D8" s="25" t="s">
        <v>754</v>
      </c>
      <c r="E8" s="26" t="s">
        <v>755</v>
      </c>
      <c r="F8" s="27" t="s">
        <v>751</v>
      </c>
      <c r="G8" s="28" t="s">
        <v>52</v>
      </c>
      <c r="H8" s="29" t="s">
        <v>82</v>
      </c>
      <c r="I8" s="30" t="s">
        <v>83</v>
      </c>
      <c r="J8" s="30"/>
      <c r="K8" s="29"/>
      <c r="L8" s="29"/>
      <c r="M8" s="29"/>
      <c r="N8" s="29"/>
      <c r="O8" s="29"/>
      <c r="P8" s="29"/>
      <c r="Q8" s="29"/>
      <c r="R8" s="29"/>
      <c r="S8" s="30"/>
      <c r="T8" s="30"/>
      <c r="U8" s="31"/>
      <c r="V8" s="5"/>
      <c r="W8" s="5"/>
      <c r="X8" s="5"/>
      <c r="Y8" s="5"/>
      <c r="Z8" s="5"/>
    </row>
    <row r="9" spans="1:26" ht="14.25" customHeight="1">
      <c r="A9" s="23">
        <v>3</v>
      </c>
      <c r="B9" s="24" t="s">
        <v>28</v>
      </c>
      <c r="C9" s="23" t="s">
        <v>40</v>
      </c>
      <c r="D9" s="25" t="s">
        <v>756</v>
      </c>
      <c r="E9" s="26" t="s">
        <v>757</v>
      </c>
      <c r="F9" s="27" t="s">
        <v>751</v>
      </c>
      <c r="G9" s="28" t="s">
        <v>52</v>
      </c>
      <c r="H9" s="29" t="s">
        <v>758</v>
      </c>
      <c r="I9" s="30" t="s">
        <v>759</v>
      </c>
      <c r="J9" s="30"/>
      <c r="K9" s="29"/>
      <c r="L9" s="29"/>
      <c r="M9" s="29"/>
      <c r="N9" s="29"/>
      <c r="O9" s="29"/>
      <c r="P9" s="29"/>
      <c r="Q9" s="29"/>
      <c r="R9" s="29"/>
      <c r="S9" s="30"/>
      <c r="T9" s="30"/>
      <c r="U9" s="31"/>
      <c r="V9" s="5"/>
      <c r="W9" s="5"/>
      <c r="X9" s="5"/>
      <c r="Y9" s="5"/>
      <c r="Z9" s="5"/>
    </row>
    <row r="10" spans="1:26" ht="14.25" customHeight="1">
      <c r="A10" s="23">
        <v>4</v>
      </c>
      <c r="B10" s="24" t="s">
        <v>89</v>
      </c>
      <c r="C10" s="23" t="s">
        <v>59</v>
      </c>
      <c r="D10" s="25" t="s">
        <v>760</v>
      </c>
      <c r="E10" s="26" t="s">
        <v>761</v>
      </c>
      <c r="F10" s="23" t="s">
        <v>762</v>
      </c>
      <c r="G10" s="25" t="s">
        <v>763</v>
      </c>
      <c r="H10" s="29" t="s">
        <v>764</v>
      </c>
      <c r="I10" s="23" t="s">
        <v>763</v>
      </c>
      <c r="J10" s="30"/>
      <c r="K10" s="29"/>
      <c r="L10" s="29"/>
      <c r="M10" s="29"/>
      <c r="N10" s="29"/>
      <c r="O10" s="29"/>
      <c r="P10" s="29"/>
      <c r="Q10" s="29"/>
      <c r="R10" s="29"/>
      <c r="S10" s="30"/>
      <c r="T10" s="30"/>
      <c r="U10" s="31"/>
      <c r="V10" s="5"/>
      <c r="W10" s="5"/>
      <c r="X10" s="5"/>
      <c r="Y10" s="5"/>
      <c r="Z10" s="5"/>
    </row>
    <row r="11" spans="1:26" ht="14.25" customHeight="1">
      <c r="A11" s="23">
        <v>5</v>
      </c>
      <c r="B11" s="24" t="s">
        <v>89</v>
      </c>
      <c r="C11" s="23" t="s">
        <v>765</v>
      </c>
      <c r="D11" s="25" t="s">
        <v>766</v>
      </c>
      <c r="E11" s="26" t="s">
        <v>767</v>
      </c>
      <c r="F11" s="27" t="s">
        <v>768</v>
      </c>
      <c r="G11" s="28" t="s">
        <v>769</v>
      </c>
      <c r="H11" s="29" t="s">
        <v>770</v>
      </c>
      <c r="I11" s="30" t="s">
        <v>771</v>
      </c>
      <c r="J11" s="30"/>
      <c r="K11" s="29"/>
      <c r="L11" s="29"/>
      <c r="M11" s="29"/>
      <c r="N11" s="29"/>
      <c r="O11" s="29"/>
      <c r="P11" s="29"/>
      <c r="Q11" s="29"/>
      <c r="R11" s="29"/>
      <c r="S11" s="30"/>
      <c r="T11" s="30"/>
      <c r="U11" s="31"/>
      <c r="V11" s="5"/>
      <c r="W11" s="5"/>
      <c r="X11" s="5"/>
      <c r="Y11" s="5"/>
      <c r="Z11" s="5"/>
    </row>
    <row r="12" spans="1:26" ht="14.25" customHeight="1">
      <c r="A12" s="23">
        <v>6</v>
      </c>
      <c r="B12" s="24" t="s">
        <v>129</v>
      </c>
      <c r="C12" s="23" t="s">
        <v>130</v>
      </c>
      <c r="D12" s="25" t="s">
        <v>772</v>
      </c>
      <c r="E12" s="26" t="s">
        <v>773</v>
      </c>
      <c r="F12" s="27" t="s">
        <v>774</v>
      </c>
      <c r="G12" s="32" t="s">
        <v>775</v>
      </c>
      <c r="H12" s="29" t="s">
        <v>776</v>
      </c>
      <c r="I12" s="30" t="s">
        <v>777</v>
      </c>
      <c r="J12" s="30"/>
      <c r="K12" s="29"/>
      <c r="L12" s="29"/>
      <c r="M12" s="29"/>
      <c r="N12" s="29"/>
      <c r="O12" s="29"/>
      <c r="P12" s="29"/>
      <c r="Q12" s="29"/>
      <c r="R12" s="29"/>
      <c r="S12" s="30"/>
      <c r="T12" s="30"/>
      <c r="U12" s="31"/>
      <c r="V12" s="5"/>
      <c r="W12" s="5"/>
      <c r="X12" s="5"/>
      <c r="Y12" s="5"/>
      <c r="Z12" s="5"/>
    </row>
    <row r="13" spans="1:26" ht="14.25" customHeight="1">
      <c r="A13" s="23">
        <v>7</v>
      </c>
      <c r="B13" s="24" t="s">
        <v>129</v>
      </c>
      <c r="C13" s="23" t="s">
        <v>160</v>
      </c>
      <c r="D13" s="25" t="s">
        <v>778</v>
      </c>
      <c r="E13" s="26" t="s">
        <v>779</v>
      </c>
      <c r="F13" s="23" t="s">
        <v>780</v>
      </c>
      <c r="G13" s="25" t="s">
        <v>781</v>
      </c>
      <c r="H13" s="29" t="s">
        <v>782</v>
      </c>
      <c r="I13" s="30" t="s">
        <v>783</v>
      </c>
      <c r="J13" s="30"/>
      <c r="K13" s="29"/>
      <c r="L13" s="29"/>
      <c r="M13" s="29"/>
      <c r="N13" s="29"/>
      <c r="O13" s="29"/>
      <c r="P13" s="29"/>
      <c r="Q13" s="29"/>
      <c r="R13" s="29"/>
      <c r="S13" s="30"/>
      <c r="T13" s="30"/>
      <c r="U13" s="31"/>
      <c r="V13" s="5"/>
      <c r="W13" s="5"/>
      <c r="X13" s="5"/>
      <c r="Y13" s="5"/>
      <c r="Z13" s="5"/>
    </row>
    <row r="14" spans="1:26" ht="14.25" customHeight="1">
      <c r="A14" s="23">
        <v>8</v>
      </c>
      <c r="B14" s="24" t="s">
        <v>129</v>
      </c>
      <c r="C14" s="23" t="s">
        <v>523</v>
      </c>
      <c r="D14" s="25" t="s">
        <v>784</v>
      </c>
      <c r="E14" s="26" t="s">
        <v>785</v>
      </c>
      <c r="F14" s="27" t="s">
        <v>786</v>
      </c>
      <c r="G14" s="28" t="s">
        <v>787</v>
      </c>
      <c r="H14" s="29" t="s">
        <v>171</v>
      </c>
      <c r="I14" s="30" t="s">
        <v>172</v>
      </c>
      <c r="J14" s="30"/>
      <c r="K14" s="29"/>
      <c r="L14" s="29"/>
      <c r="M14" s="29"/>
      <c r="N14" s="29"/>
      <c r="O14" s="29"/>
      <c r="P14" s="29"/>
      <c r="Q14" s="29"/>
      <c r="R14" s="29"/>
      <c r="S14" s="30"/>
      <c r="T14" s="30"/>
      <c r="U14" s="31"/>
      <c r="V14" s="5"/>
      <c r="W14" s="5"/>
      <c r="X14" s="5"/>
      <c r="Y14" s="5"/>
      <c r="Z14" s="5"/>
    </row>
    <row r="15" spans="1:26" ht="14.25" customHeight="1">
      <c r="A15" s="23">
        <v>9</v>
      </c>
      <c r="B15" s="24" t="s">
        <v>129</v>
      </c>
      <c r="C15" s="23" t="s">
        <v>135</v>
      </c>
      <c r="D15" s="25" t="s">
        <v>788</v>
      </c>
      <c r="E15" s="26" t="s">
        <v>789</v>
      </c>
      <c r="F15" s="23" t="s">
        <v>774</v>
      </c>
      <c r="G15" s="25" t="s">
        <v>775</v>
      </c>
      <c r="H15" s="30" t="s">
        <v>790</v>
      </c>
      <c r="I15" s="30" t="s">
        <v>791</v>
      </c>
      <c r="J15" s="30"/>
      <c r="K15" s="29"/>
      <c r="L15" s="29"/>
      <c r="M15" s="29"/>
      <c r="N15" s="29"/>
      <c r="O15" s="29"/>
      <c r="P15" s="29"/>
      <c r="Q15" s="29"/>
      <c r="R15" s="29"/>
      <c r="S15" s="30"/>
      <c r="T15" s="30"/>
      <c r="U15" s="31"/>
      <c r="V15" s="5"/>
      <c r="W15" s="5"/>
      <c r="X15" s="5"/>
      <c r="Y15" s="5"/>
      <c r="Z15" s="5"/>
    </row>
    <row r="16" spans="1:26" ht="14.25" customHeight="1">
      <c r="A16" s="23">
        <v>10</v>
      </c>
      <c r="B16" s="24" t="s">
        <v>129</v>
      </c>
      <c r="C16" s="23" t="s">
        <v>137</v>
      </c>
      <c r="D16" s="25" t="s">
        <v>792</v>
      </c>
      <c r="E16" s="26" t="s">
        <v>793</v>
      </c>
      <c r="F16" s="27" t="s">
        <v>774</v>
      </c>
      <c r="G16" s="32" t="s">
        <v>775</v>
      </c>
      <c r="H16" s="29" t="s">
        <v>131</v>
      </c>
      <c r="I16" s="30" t="s">
        <v>132</v>
      </c>
      <c r="J16" s="30"/>
      <c r="K16" s="29"/>
      <c r="L16" s="29"/>
      <c r="M16" s="29"/>
      <c r="N16" s="29"/>
      <c r="O16" s="29"/>
      <c r="P16" s="29"/>
      <c r="Q16" s="29"/>
      <c r="R16" s="29"/>
      <c r="S16" s="30"/>
      <c r="T16" s="30"/>
      <c r="U16" s="31"/>
      <c r="V16" s="5"/>
      <c r="W16" s="5"/>
      <c r="X16" s="5"/>
      <c r="Y16" s="5"/>
      <c r="Z16" s="5"/>
    </row>
    <row r="17" spans="1:26" ht="14.25" customHeight="1">
      <c r="A17" s="23">
        <v>11</v>
      </c>
      <c r="B17" s="24" t="s">
        <v>129</v>
      </c>
      <c r="C17" s="23" t="s">
        <v>141</v>
      </c>
      <c r="D17" s="25" t="s">
        <v>794</v>
      </c>
      <c r="E17" s="26" t="s">
        <v>795</v>
      </c>
      <c r="F17" s="27" t="s">
        <v>796</v>
      </c>
      <c r="G17" s="28" t="s">
        <v>797</v>
      </c>
      <c r="H17" s="29" t="s">
        <v>138</v>
      </c>
      <c r="I17" s="30" t="s">
        <v>139</v>
      </c>
      <c r="J17" s="30"/>
      <c r="K17" s="29"/>
      <c r="L17" s="29"/>
      <c r="M17" s="29"/>
      <c r="N17" s="29"/>
      <c r="O17" s="29"/>
      <c r="P17" s="29"/>
      <c r="Q17" s="29"/>
      <c r="R17" s="29"/>
      <c r="S17" s="30"/>
      <c r="T17" s="30"/>
      <c r="U17" s="31"/>
      <c r="V17" s="5"/>
      <c r="W17" s="5"/>
      <c r="X17" s="5"/>
      <c r="Y17" s="5"/>
      <c r="Z17" s="5"/>
    </row>
    <row r="18" spans="1:26" ht="14.25" customHeight="1">
      <c r="A18" s="23">
        <v>12</v>
      </c>
      <c r="B18" s="24" t="s">
        <v>129</v>
      </c>
      <c r="C18" s="23" t="s">
        <v>151</v>
      </c>
      <c r="D18" s="25" t="s">
        <v>798</v>
      </c>
      <c r="E18" s="26" t="s">
        <v>799</v>
      </c>
      <c r="F18" s="27" t="s">
        <v>800</v>
      </c>
      <c r="G18" s="28" t="s">
        <v>801</v>
      </c>
      <c r="H18" s="29" t="s">
        <v>148</v>
      </c>
      <c r="I18" s="30" t="s">
        <v>149</v>
      </c>
      <c r="J18" s="30"/>
      <c r="K18" s="29"/>
      <c r="L18" s="29"/>
      <c r="M18" s="29"/>
      <c r="N18" s="29"/>
      <c r="O18" s="29"/>
      <c r="P18" s="29"/>
      <c r="Q18" s="29"/>
      <c r="R18" s="29"/>
      <c r="S18" s="30"/>
      <c r="T18" s="30"/>
      <c r="U18" s="31"/>
      <c r="V18" s="5"/>
      <c r="W18" s="5"/>
      <c r="X18" s="5"/>
      <c r="Y18" s="5"/>
      <c r="Z18" s="5"/>
    </row>
    <row r="19" spans="1:26" ht="14.25" customHeight="1">
      <c r="A19" s="23">
        <v>13</v>
      </c>
      <c r="B19" s="24" t="s">
        <v>129</v>
      </c>
      <c r="C19" s="23" t="s">
        <v>153</v>
      </c>
      <c r="D19" s="25" t="s">
        <v>802</v>
      </c>
      <c r="E19" s="26" t="s">
        <v>803</v>
      </c>
      <c r="F19" s="27" t="s">
        <v>804</v>
      </c>
      <c r="G19" s="28" t="s">
        <v>805</v>
      </c>
      <c r="H19" s="29" t="s">
        <v>806</v>
      </c>
      <c r="I19" s="30" t="s">
        <v>807</v>
      </c>
      <c r="J19" s="30"/>
      <c r="K19" s="29"/>
      <c r="L19" s="29"/>
      <c r="M19" s="29"/>
      <c r="N19" s="29"/>
      <c r="O19" s="29"/>
      <c r="P19" s="29"/>
      <c r="Q19" s="29"/>
      <c r="R19" s="29"/>
      <c r="S19" s="30"/>
      <c r="T19" s="30"/>
      <c r="U19" s="31"/>
      <c r="V19" s="5"/>
      <c r="W19" s="5"/>
      <c r="X19" s="5"/>
      <c r="Y19" s="5"/>
      <c r="Z19" s="5"/>
    </row>
    <row r="20" spans="1:26" ht="14.25" customHeight="1">
      <c r="A20" s="23">
        <v>14</v>
      </c>
      <c r="B20" s="24" t="s">
        <v>177</v>
      </c>
      <c r="C20" s="23" t="s">
        <v>178</v>
      </c>
      <c r="D20" s="25" t="s">
        <v>808</v>
      </c>
      <c r="E20" s="26" t="s">
        <v>809</v>
      </c>
      <c r="F20" s="27" t="s">
        <v>810</v>
      </c>
      <c r="G20" s="28" t="s">
        <v>811</v>
      </c>
      <c r="H20" s="29" t="s">
        <v>812</v>
      </c>
      <c r="I20" s="30" t="s">
        <v>813</v>
      </c>
      <c r="J20" s="30"/>
      <c r="K20" s="29"/>
      <c r="L20" s="29"/>
      <c r="M20" s="29"/>
      <c r="N20" s="29"/>
      <c r="O20" s="29"/>
      <c r="P20" s="29"/>
      <c r="Q20" s="29"/>
      <c r="R20" s="29"/>
      <c r="S20" s="30"/>
      <c r="T20" s="30"/>
      <c r="U20" s="31"/>
      <c r="V20" s="5"/>
      <c r="W20" s="5"/>
      <c r="X20" s="5"/>
      <c r="Y20" s="5"/>
      <c r="Z20" s="5"/>
    </row>
    <row r="21" spans="1:26" ht="14.25" customHeight="1">
      <c r="A21" s="23">
        <v>15</v>
      </c>
      <c r="B21" s="24" t="s">
        <v>177</v>
      </c>
      <c r="C21" s="23" t="s">
        <v>213</v>
      </c>
      <c r="D21" s="25" t="s">
        <v>814</v>
      </c>
      <c r="E21" s="26" t="s">
        <v>815</v>
      </c>
      <c r="F21" s="27" t="s">
        <v>816</v>
      </c>
      <c r="G21" s="28" t="s">
        <v>817</v>
      </c>
      <c r="H21" s="29" t="s">
        <v>818</v>
      </c>
      <c r="I21" s="30" t="s">
        <v>819</v>
      </c>
      <c r="J21" s="30"/>
      <c r="K21" s="29"/>
      <c r="L21" s="29"/>
      <c r="M21" s="29"/>
      <c r="N21" s="29"/>
      <c r="O21" s="29"/>
      <c r="P21" s="29"/>
      <c r="Q21" s="29"/>
      <c r="R21" s="29"/>
      <c r="S21" s="30"/>
      <c r="T21" s="30"/>
      <c r="U21" s="31"/>
      <c r="V21" s="5"/>
      <c r="W21" s="5"/>
      <c r="X21" s="5"/>
      <c r="Y21" s="5"/>
      <c r="Z21" s="5"/>
    </row>
    <row r="22" spans="1:26" ht="14.25" customHeight="1">
      <c r="A22" s="23">
        <v>16</v>
      </c>
      <c r="B22" s="24" t="s">
        <v>177</v>
      </c>
      <c r="C22" s="23" t="s">
        <v>316</v>
      </c>
      <c r="D22" s="25" t="s">
        <v>820</v>
      </c>
      <c r="E22" s="26" t="s">
        <v>821</v>
      </c>
      <c r="F22" s="27" t="s">
        <v>822</v>
      </c>
      <c r="G22" s="28" t="s">
        <v>320</v>
      </c>
      <c r="H22" s="29" t="s">
        <v>823</v>
      </c>
      <c r="I22" s="30" t="s">
        <v>824</v>
      </c>
      <c r="J22" s="30"/>
      <c r="K22" s="29"/>
      <c r="L22" s="29"/>
      <c r="M22" s="29"/>
      <c r="N22" s="29"/>
      <c r="O22" s="29"/>
      <c r="P22" s="29"/>
      <c r="Q22" s="29"/>
      <c r="R22" s="29"/>
      <c r="S22" s="30"/>
      <c r="T22" s="30"/>
      <c r="U22" s="31"/>
      <c r="V22" s="5"/>
      <c r="W22" s="5"/>
      <c r="X22" s="5"/>
      <c r="Y22" s="5"/>
      <c r="Z22" s="5"/>
    </row>
    <row r="23" spans="1:26" ht="14.25" customHeight="1">
      <c r="A23" s="23">
        <v>17</v>
      </c>
      <c r="B23" s="24" t="s">
        <v>177</v>
      </c>
      <c r="C23" s="23" t="s">
        <v>326</v>
      </c>
      <c r="D23" s="25" t="s">
        <v>825</v>
      </c>
      <c r="E23" s="26" t="s">
        <v>826</v>
      </c>
      <c r="F23" s="27" t="s">
        <v>827</v>
      </c>
      <c r="G23" s="28" t="s">
        <v>828</v>
      </c>
      <c r="H23" s="29" t="s">
        <v>324</v>
      </c>
      <c r="I23" s="30" t="s">
        <v>829</v>
      </c>
      <c r="J23" s="30"/>
      <c r="K23" s="29"/>
      <c r="L23" s="29"/>
      <c r="M23" s="29"/>
      <c r="N23" s="29"/>
      <c r="O23" s="29"/>
      <c r="P23" s="29"/>
      <c r="Q23" s="29"/>
      <c r="R23" s="29"/>
      <c r="S23" s="30"/>
      <c r="T23" s="30"/>
      <c r="U23" s="31"/>
      <c r="V23" s="5"/>
      <c r="W23" s="5"/>
      <c r="X23" s="5"/>
      <c r="Y23" s="5"/>
      <c r="Z23" s="5"/>
    </row>
    <row r="24" spans="1:26" ht="14.25" customHeight="1">
      <c r="A24" s="23">
        <v>18</v>
      </c>
      <c r="B24" s="24" t="s">
        <v>177</v>
      </c>
      <c r="C24" s="23" t="s">
        <v>393</v>
      </c>
      <c r="D24" s="25" t="s">
        <v>830</v>
      </c>
      <c r="E24" s="26" t="s">
        <v>831</v>
      </c>
      <c r="F24" s="27" t="s">
        <v>832</v>
      </c>
      <c r="G24" s="28" t="s">
        <v>833</v>
      </c>
      <c r="H24" s="29" t="s">
        <v>834</v>
      </c>
      <c r="I24" s="30" t="s">
        <v>835</v>
      </c>
      <c r="J24" s="30"/>
      <c r="K24" s="29"/>
      <c r="L24" s="29"/>
      <c r="M24" s="29"/>
      <c r="N24" s="29"/>
      <c r="O24" s="29"/>
      <c r="P24" s="29"/>
      <c r="Q24" s="29"/>
      <c r="R24" s="29"/>
      <c r="S24" s="30"/>
      <c r="T24" s="30"/>
      <c r="U24" s="31"/>
      <c r="V24" s="5"/>
      <c r="W24" s="5"/>
      <c r="X24" s="5"/>
      <c r="Y24" s="5"/>
      <c r="Z24" s="5"/>
    </row>
    <row r="25" spans="1:26" ht="14.25" customHeight="1">
      <c r="A25" s="23">
        <v>19</v>
      </c>
      <c r="B25" s="24" t="s">
        <v>177</v>
      </c>
      <c r="C25" s="23" t="s">
        <v>452</v>
      </c>
      <c r="D25" s="25" t="s">
        <v>836</v>
      </c>
      <c r="E25" s="26" t="s">
        <v>837</v>
      </c>
      <c r="F25" s="27" t="s">
        <v>838</v>
      </c>
      <c r="G25" s="32" t="s">
        <v>839</v>
      </c>
      <c r="H25" s="29" t="s">
        <v>840</v>
      </c>
      <c r="I25" s="30" t="s">
        <v>841</v>
      </c>
      <c r="J25" s="30"/>
      <c r="K25" s="29"/>
      <c r="L25" s="29"/>
      <c r="M25" s="29"/>
      <c r="N25" s="29"/>
      <c r="O25" s="29"/>
      <c r="P25" s="29"/>
      <c r="Q25" s="29"/>
      <c r="R25" s="29"/>
      <c r="S25" s="30"/>
      <c r="T25" s="30"/>
      <c r="U25" s="31"/>
      <c r="V25" s="5"/>
      <c r="W25" s="5"/>
      <c r="X25" s="5"/>
      <c r="Y25" s="5"/>
      <c r="Z25" s="5"/>
    </row>
    <row r="26" spans="1:26" ht="14.25" customHeight="1">
      <c r="A26" s="23">
        <v>20</v>
      </c>
      <c r="B26" s="24" t="s">
        <v>177</v>
      </c>
      <c r="C26" s="23" t="s">
        <v>459</v>
      </c>
      <c r="D26" s="25" t="s">
        <v>842</v>
      </c>
      <c r="E26" s="26" t="s">
        <v>843</v>
      </c>
      <c r="F26" s="27" t="s">
        <v>844</v>
      </c>
      <c r="G26" s="32" t="s">
        <v>461</v>
      </c>
      <c r="H26" s="30" t="s">
        <v>845</v>
      </c>
      <c r="I26" s="30" t="s">
        <v>846</v>
      </c>
      <c r="J26" s="30"/>
      <c r="K26" s="29"/>
      <c r="L26" s="29"/>
      <c r="M26" s="29"/>
      <c r="N26" s="29"/>
      <c r="O26" s="29"/>
      <c r="P26" s="29"/>
      <c r="Q26" s="29"/>
      <c r="R26" s="29"/>
      <c r="S26" s="30"/>
      <c r="T26" s="30"/>
      <c r="U26" s="31"/>
      <c r="V26" s="5"/>
      <c r="W26" s="5"/>
      <c r="X26" s="5"/>
      <c r="Y26" s="5"/>
      <c r="Z26" s="5"/>
    </row>
    <row r="27" spans="1:26" ht="14.25" customHeight="1">
      <c r="A27" s="23">
        <v>21</v>
      </c>
      <c r="B27" s="24" t="s">
        <v>177</v>
      </c>
      <c r="C27" s="23" t="s">
        <v>463</v>
      </c>
      <c r="D27" s="25" t="s">
        <v>847</v>
      </c>
      <c r="E27" s="26" t="s">
        <v>848</v>
      </c>
      <c r="F27" s="23" t="s">
        <v>849</v>
      </c>
      <c r="G27" s="25" t="s">
        <v>850</v>
      </c>
      <c r="H27" s="29" t="s">
        <v>851</v>
      </c>
      <c r="I27" s="30" t="s">
        <v>852</v>
      </c>
      <c r="J27" s="30"/>
      <c r="K27" s="29"/>
      <c r="L27" s="29"/>
      <c r="M27" s="29"/>
      <c r="N27" s="29"/>
      <c r="O27" s="29"/>
      <c r="P27" s="29"/>
      <c r="Q27" s="29"/>
      <c r="R27" s="29"/>
      <c r="S27" s="30"/>
      <c r="T27" s="30"/>
      <c r="U27" s="31"/>
      <c r="V27" s="5"/>
      <c r="W27" s="5"/>
      <c r="X27" s="5"/>
      <c r="Y27" s="5"/>
      <c r="Z27" s="5"/>
    </row>
    <row r="28" spans="1:26" ht="14.25" customHeight="1">
      <c r="A28" s="23">
        <v>22</v>
      </c>
      <c r="B28" s="24" t="s">
        <v>245</v>
      </c>
      <c r="C28" s="23" t="s">
        <v>255</v>
      </c>
      <c r="D28" s="25" t="s">
        <v>853</v>
      </c>
      <c r="E28" s="26" t="s">
        <v>854</v>
      </c>
      <c r="F28" s="27" t="s">
        <v>855</v>
      </c>
      <c r="G28" s="28" t="s">
        <v>856</v>
      </c>
      <c r="H28" s="29" t="s">
        <v>857</v>
      </c>
      <c r="I28" s="30" t="s">
        <v>858</v>
      </c>
      <c r="J28" s="30"/>
      <c r="K28" s="29"/>
      <c r="L28" s="29"/>
      <c r="M28" s="29"/>
      <c r="N28" s="29"/>
      <c r="O28" s="29"/>
      <c r="P28" s="29"/>
      <c r="Q28" s="29"/>
      <c r="R28" s="29"/>
      <c r="S28" s="30"/>
      <c r="T28" s="30"/>
      <c r="U28" s="31"/>
      <c r="V28" s="5"/>
      <c r="W28" s="5"/>
      <c r="X28" s="5"/>
      <c r="Y28" s="5"/>
      <c r="Z28" s="5"/>
    </row>
    <row r="29" spans="1:26" ht="14.25" customHeight="1">
      <c r="A29" s="23">
        <v>23</v>
      </c>
      <c r="B29" s="24" t="s">
        <v>245</v>
      </c>
      <c r="C29" s="23" t="s">
        <v>859</v>
      </c>
      <c r="D29" s="25" t="s">
        <v>860</v>
      </c>
      <c r="E29" s="26" t="s">
        <v>861</v>
      </c>
      <c r="F29" s="27" t="s">
        <v>862</v>
      </c>
      <c r="G29" s="28" t="s">
        <v>225</v>
      </c>
      <c r="H29" s="29" t="s">
        <v>253</v>
      </c>
      <c r="I29" s="30" t="s">
        <v>225</v>
      </c>
      <c r="J29" s="30"/>
      <c r="K29" s="29"/>
      <c r="L29" s="29"/>
      <c r="M29" s="29"/>
      <c r="N29" s="29"/>
      <c r="O29" s="29"/>
      <c r="P29" s="29"/>
      <c r="Q29" s="29"/>
      <c r="R29" s="29"/>
      <c r="S29" s="30"/>
      <c r="T29" s="30"/>
      <c r="U29" s="31"/>
      <c r="V29" s="5"/>
      <c r="W29" s="5"/>
      <c r="X29" s="5"/>
      <c r="Y29" s="5"/>
      <c r="Z29" s="5"/>
    </row>
    <row r="30" spans="1:26" ht="14.25" customHeight="1">
      <c r="A30" s="23">
        <v>24</v>
      </c>
      <c r="B30" s="24" t="s">
        <v>245</v>
      </c>
      <c r="C30" s="23" t="s">
        <v>246</v>
      </c>
      <c r="D30" s="25" t="s">
        <v>863</v>
      </c>
      <c r="E30" s="26" t="s">
        <v>864</v>
      </c>
      <c r="F30" s="27" t="s">
        <v>865</v>
      </c>
      <c r="G30" s="28" t="s">
        <v>866</v>
      </c>
      <c r="H30" s="29" t="s">
        <v>242</v>
      </c>
      <c r="I30" s="30" t="s">
        <v>243</v>
      </c>
      <c r="J30" s="30"/>
      <c r="K30" s="29"/>
      <c r="L30" s="29"/>
      <c r="M30" s="29"/>
      <c r="N30" s="29"/>
      <c r="O30" s="29"/>
      <c r="P30" s="29"/>
      <c r="Q30" s="29"/>
      <c r="R30" s="29"/>
      <c r="S30" s="30"/>
      <c r="T30" s="30"/>
      <c r="U30" s="31"/>
      <c r="V30" s="5"/>
      <c r="W30" s="5"/>
      <c r="X30" s="5"/>
      <c r="Y30" s="5"/>
      <c r="Z30" s="5"/>
    </row>
    <row r="31" spans="1:26" ht="14.25" customHeight="1">
      <c r="A31" s="23">
        <v>25</v>
      </c>
      <c r="B31" s="24" t="s">
        <v>227</v>
      </c>
      <c r="C31" s="23" t="s">
        <v>228</v>
      </c>
      <c r="D31" s="25" t="s">
        <v>867</v>
      </c>
      <c r="E31" s="26" t="s">
        <v>868</v>
      </c>
      <c r="F31" s="27" t="s">
        <v>869</v>
      </c>
      <c r="G31" s="28" t="s">
        <v>264</v>
      </c>
      <c r="H31" s="33" t="s">
        <v>870</v>
      </c>
      <c r="I31" s="30" t="s">
        <v>871</v>
      </c>
      <c r="J31" s="30"/>
      <c r="K31" s="29"/>
      <c r="L31" s="29"/>
      <c r="M31" s="29"/>
      <c r="N31" s="29"/>
      <c r="O31" s="29"/>
      <c r="P31" s="29"/>
      <c r="Q31" s="29"/>
      <c r="R31" s="29"/>
      <c r="S31" s="30"/>
      <c r="T31" s="30"/>
      <c r="U31" s="31"/>
      <c r="V31" s="5"/>
      <c r="W31" s="5"/>
      <c r="X31" s="5"/>
      <c r="Y31" s="5"/>
      <c r="Z31" s="5"/>
    </row>
    <row r="32" spans="1:26" ht="14.25" customHeight="1">
      <c r="A32" s="23">
        <v>26</v>
      </c>
      <c r="B32" s="24" t="s">
        <v>227</v>
      </c>
      <c r="C32" s="23" t="s">
        <v>267</v>
      </c>
      <c r="D32" s="25" t="s">
        <v>872</v>
      </c>
      <c r="E32" s="26" t="s">
        <v>873</v>
      </c>
      <c r="F32" s="27" t="s">
        <v>869</v>
      </c>
      <c r="G32" s="28" t="s">
        <v>264</v>
      </c>
      <c r="H32" s="33" t="s">
        <v>870</v>
      </c>
      <c r="I32" s="30" t="s">
        <v>871</v>
      </c>
      <c r="J32" s="30"/>
      <c r="K32" s="29"/>
      <c r="L32" s="29"/>
      <c r="M32" s="29"/>
      <c r="N32" s="29"/>
      <c r="O32" s="29"/>
      <c r="P32" s="29"/>
      <c r="Q32" s="29"/>
      <c r="R32" s="29"/>
      <c r="S32" s="30"/>
      <c r="T32" s="30"/>
      <c r="U32" s="31"/>
      <c r="V32" s="5"/>
      <c r="W32" s="5"/>
      <c r="X32" s="5"/>
      <c r="Y32" s="5"/>
      <c r="Z32" s="5"/>
    </row>
    <row r="33" spans="1:26" ht="14.25" customHeight="1">
      <c r="A33" s="23">
        <v>27</v>
      </c>
      <c r="B33" s="24" t="s">
        <v>227</v>
      </c>
      <c r="C33" s="23" t="s">
        <v>257</v>
      </c>
      <c r="D33" s="25" t="s">
        <v>874</v>
      </c>
      <c r="E33" s="26" t="s">
        <v>875</v>
      </c>
      <c r="F33" s="27" t="s">
        <v>876</v>
      </c>
      <c r="G33" s="28" t="s">
        <v>877</v>
      </c>
      <c r="H33" s="33" t="s">
        <v>878</v>
      </c>
      <c r="I33" s="30" t="s">
        <v>879</v>
      </c>
      <c r="J33" s="30"/>
      <c r="K33" s="29"/>
      <c r="L33" s="29"/>
      <c r="M33" s="29"/>
      <c r="N33" s="29"/>
      <c r="O33" s="29"/>
      <c r="P33" s="29"/>
      <c r="Q33" s="29"/>
      <c r="R33" s="29"/>
      <c r="S33" s="30"/>
      <c r="T33" s="30"/>
      <c r="U33" s="31"/>
      <c r="V33" s="5"/>
      <c r="W33" s="5"/>
      <c r="X33" s="5"/>
      <c r="Y33" s="5"/>
      <c r="Z33" s="5"/>
    </row>
    <row r="34" spans="1:26" ht="14.25" customHeight="1">
      <c r="A34" s="23">
        <v>28</v>
      </c>
      <c r="B34" s="24" t="s">
        <v>227</v>
      </c>
      <c r="C34" s="23" t="s">
        <v>252</v>
      </c>
      <c r="D34" s="25" t="s">
        <v>880</v>
      </c>
      <c r="E34" s="26" t="s">
        <v>881</v>
      </c>
      <c r="F34" s="27" t="s">
        <v>869</v>
      </c>
      <c r="G34" s="28" t="s">
        <v>264</v>
      </c>
      <c r="H34" s="29" t="s">
        <v>882</v>
      </c>
      <c r="I34" s="30" t="s">
        <v>883</v>
      </c>
      <c r="J34" s="30"/>
      <c r="K34" s="29"/>
      <c r="L34" s="29"/>
      <c r="M34" s="29"/>
      <c r="N34" s="29"/>
      <c r="O34" s="29"/>
      <c r="P34" s="29"/>
      <c r="Q34" s="29"/>
      <c r="R34" s="29"/>
      <c r="S34" s="30"/>
      <c r="T34" s="30"/>
      <c r="U34" s="31"/>
      <c r="V34" s="5"/>
      <c r="W34" s="5"/>
      <c r="X34" s="5"/>
      <c r="Y34" s="5"/>
      <c r="Z34" s="5"/>
    </row>
    <row r="35" spans="1:26" ht="14.25" customHeight="1">
      <c r="A35" s="23">
        <v>29</v>
      </c>
      <c r="B35" s="24" t="s">
        <v>227</v>
      </c>
      <c r="C35" s="23" t="s">
        <v>884</v>
      </c>
      <c r="D35" s="25" t="s">
        <v>885</v>
      </c>
      <c r="E35" s="26" t="s">
        <v>886</v>
      </c>
      <c r="F35" s="27" t="s">
        <v>869</v>
      </c>
      <c r="G35" s="28" t="s">
        <v>264</v>
      </c>
      <c r="H35" s="29" t="s">
        <v>887</v>
      </c>
      <c r="I35" s="30" t="s">
        <v>888</v>
      </c>
      <c r="J35" s="30"/>
      <c r="K35" s="29"/>
      <c r="L35" s="29"/>
      <c r="M35" s="29"/>
      <c r="N35" s="29"/>
      <c r="O35" s="29"/>
      <c r="P35" s="29"/>
      <c r="Q35" s="29"/>
      <c r="R35" s="29"/>
      <c r="S35" s="30"/>
      <c r="T35" s="30"/>
      <c r="U35" s="31"/>
      <c r="V35" s="5"/>
      <c r="W35" s="5"/>
      <c r="X35" s="5"/>
      <c r="Y35" s="5"/>
      <c r="Z35" s="5"/>
    </row>
    <row r="36" spans="1:26" ht="14.25" customHeight="1">
      <c r="A36" s="23">
        <v>30</v>
      </c>
      <c r="B36" s="24" t="s">
        <v>227</v>
      </c>
      <c r="C36" s="23" t="s">
        <v>250</v>
      </c>
      <c r="D36" s="25" t="s">
        <v>889</v>
      </c>
      <c r="E36" s="26" t="s">
        <v>890</v>
      </c>
      <c r="F36" s="27" t="s">
        <v>869</v>
      </c>
      <c r="G36" s="28" t="s">
        <v>264</v>
      </c>
      <c r="H36" s="29" t="s">
        <v>891</v>
      </c>
      <c r="I36" s="30" t="s">
        <v>892</v>
      </c>
      <c r="J36" s="30"/>
      <c r="K36" s="29"/>
      <c r="L36" s="29"/>
      <c r="M36" s="29"/>
      <c r="N36" s="29"/>
      <c r="O36" s="29"/>
      <c r="P36" s="29"/>
      <c r="Q36" s="29"/>
      <c r="R36" s="29"/>
      <c r="S36" s="30"/>
      <c r="T36" s="30"/>
      <c r="U36" s="31"/>
      <c r="V36" s="5"/>
      <c r="W36" s="5"/>
      <c r="X36" s="5"/>
      <c r="Y36" s="5"/>
      <c r="Z36" s="5"/>
    </row>
    <row r="37" spans="1:26" ht="14.25" customHeight="1">
      <c r="A37" s="23">
        <v>31</v>
      </c>
      <c r="B37" s="24" t="s">
        <v>227</v>
      </c>
      <c r="C37" s="23" t="s">
        <v>893</v>
      </c>
      <c r="D37" s="25" t="s">
        <v>894</v>
      </c>
      <c r="E37" s="26" t="s">
        <v>895</v>
      </c>
      <c r="F37" s="27" t="s">
        <v>869</v>
      </c>
      <c r="G37" s="28" t="s">
        <v>264</v>
      </c>
      <c r="H37" s="29" t="s">
        <v>896</v>
      </c>
      <c r="I37" s="30" t="s">
        <v>897</v>
      </c>
      <c r="J37" s="30"/>
      <c r="K37" s="29"/>
      <c r="L37" s="29"/>
      <c r="M37" s="29"/>
      <c r="N37" s="29"/>
      <c r="O37" s="29"/>
      <c r="P37" s="29"/>
      <c r="Q37" s="29"/>
      <c r="R37" s="29"/>
      <c r="S37" s="30"/>
      <c r="T37" s="30"/>
      <c r="U37" s="31"/>
      <c r="V37" s="5"/>
      <c r="W37" s="5"/>
      <c r="X37" s="5"/>
      <c r="Y37" s="5"/>
      <c r="Z37" s="5"/>
    </row>
    <row r="38" spans="1:26" ht="14.25" customHeight="1">
      <c r="A38" s="23">
        <v>32</v>
      </c>
      <c r="B38" s="24" t="s">
        <v>227</v>
      </c>
      <c r="C38" s="23" t="s">
        <v>261</v>
      </c>
      <c r="D38" s="25" t="s">
        <v>898</v>
      </c>
      <c r="E38" s="26" t="s">
        <v>899</v>
      </c>
      <c r="F38" s="27" t="s">
        <v>869</v>
      </c>
      <c r="G38" s="28" t="s">
        <v>264</v>
      </c>
      <c r="H38" s="29" t="s">
        <v>900</v>
      </c>
      <c r="I38" s="30" t="s">
        <v>901</v>
      </c>
      <c r="J38" s="30"/>
      <c r="K38" s="29"/>
      <c r="L38" s="29"/>
      <c r="M38" s="29"/>
      <c r="N38" s="29"/>
      <c r="O38" s="29"/>
      <c r="P38" s="29"/>
      <c r="Q38" s="29"/>
      <c r="R38" s="29"/>
      <c r="S38" s="30"/>
      <c r="T38" s="30"/>
      <c r="U38" s="31"/>
      <c r="V38" s="5"/>
      <c r="W38" s="5"/>
      <c r="X38" s="5"/>
      <c r="Y38" s="5"/>
      <c r="Z38" s="5"/>
    </row>
    <row r="39" spans="1:26" ht="14.25" customHeight="1">
      <c r="A39" s="23">
        <v>33</v>
      </c>
      <c r="B39" s="24" t="s">
        <v>234</v>
      </c>
      <c r="C39" s="23" t="s">
        <v>902</v>
      </c>
      <c r="D39" s="25" t="s">
        <v>903</v>
      </c>
      <c r="E39" s="26" t="s">
        <v>904</v>
      </c>
      <c r="F39" s="27" t="s">
        <v>905</v>
      </c>
      <c r="G39" s="28" t="s">
        <v>373</v>
      </c>
      <c r="H39" s="29" t="s">
        <v>906</v>
      </c>
      <c r="I39" s="30" t="s">
        <v>907</v>
      </c>
      <c r="J39" s="30"/>
      <c r="K39" s="29"/>
      <c r="L39" s="29"/>
      <c r="M39" s="29"/>
      <c r="N39" s="29"/>
      <c r="O39" s="29"/>
      <c r="P39" s="29"/>
      <c r="Q39" s="29"/>
      <c r="R39" s="29"/>
      <c r="S39" s="30"/>
      <c r="T39" s="30"/>
      <c r="U39" s="31"/>
      <c r="V39" s="5"/>
      <c r="W39" s="5"/>
      <c r="X39" s="5"/>
      <c r="Y39" s="5"/>
      <c r="Z39" s="5"/>
    </row>
    <row r="40" spans="1:26" ht="14.25" customHeight="1">
      <c r="A40" s="23">
        <v>34</v>
      </c>
      <c r="B40" s="24" t="s">
        <v>234</v>
      </c>
      <c r="C40" s="23" t="s">
        <v>908</v>
      </c>
      <c r="D40" s="25" t="s">
        <v>909</v>
      </c>
      <c r="E40" s="26" t="s">
        <v>910</v>
      </c>
      <c r="F40" s="27" t="s">
        <v>905</v>
      </c>
      <c r="G40" s="28" t="s">
        <v>373</v>
      </c>
      <c r="H40" s="29" t="s">
        <v>911</v>
      </c>
      <c r="I40" s="30" t="s">
        <v>912</v>
      </c>
      <c r="J40" s="30"/>
      <c r="K40" s="29"/>
      <c r="L40" s="29"/>
      <c r="M40" s="29"/>
      <c r="N40" s="29"/>
      <c r="O40" s="29"/>
      <c r="P40" s="29"/>
      <c r="Q40" s="29"/>
      <c r="R40" s="29"/>
      <c r="S40" s="30"/>
      <c r="T40" s="30"/>
      <c r="U40" s="31"/>
      <c r="V40" s="5"/>
      <c r="W40" s="5"/>
      <c r="X40" s="5"/>
      <c r="Y40" s="5"/>
      <c r="Z40" s="5"/>
    </row>
    <row r="41" spans="1:26" ht="14.25" customHeight="1">
      <c r="A41" s="23">
        <v>35</v>
      </c>
      <c r="B41" s="24" t="s">
        <v>234</v>
      </c>
      <c r="C41" s="23" t="s">
        <v>312</v>
      </c>
      <c r="D41" s="25" t="s">
        <v>913</v>
      </c>
      <c r="E41" s="26" t="s">
        <v>914</v>
      </c>
      <c r="F41" s="27" t="s">
        <v>905</v>
      </c>
      <c r="G41" s="28" t="s">
        <v>373</v>
      </c>
      <c r="H41" s="29" t="s">
        <v>313</v>
      </c>
      <c r="I41" s="30" t="s">
        <v>262</v>
      </c>
      <c r="J41" s="30"/>
      <c r="K41" s="29"/>
      <c r="L41" s="29"/>
      <c r="M41" s="29"/>
      <c r="N41" s="29"/>
      <c r="O41" s="29"/>
      <c r="P41" s="29"/>
      <c r="Q41" s="29"/>
      <c r="R41" s="29"/>
      <c r="S41" s="30"/>
      <c r="T41" s="30"/>
      <c r="U41" s="31"/>
      <c r="V41" s="5"/>
      <c r="W41" s="5"/>
      <c r="X41" s="5"/>
      <c r="Y41" s="5"/>
      <c r="Z41" s="5"/>
    </row>
    <row r="42" spans="1:26" ht="14.25" customHeight="1">
      <c r="A42" s="23">
        <v>36</v>
      </c>
      <c r="B42" s="24" t="s">
        <v>234</v>
      </c>
      <c r="C42" s="23" t="s">
        <v>915</v>
      </c>
      <c r="D42" s="25" t="s">
        <v>916</v>
      </c>
      <c r="E42" s="26" t="s">
        <v>917</v>
      </c>
      <c r="F42" s="27" t="s">
        <v>905</v>
      </c>
      <c r="G42" s="28" t="s">
        <v>373</v>
      </c>
      <c r="H42" s="29" t="s">
        <v>918</v>
      </c>
      <c r="I42" s="30" t="s">
        <v>919</v>
      </c>
      <c r="J42" s="30"/>
      <c r="K42" s="29"/>
      <c r="L42" s="29"/>
      <c r="M42" s="29"/>
      <c r="N42" s="29"/>
      <c r="O42" s="29"/>
      <c r="P42" s="29"/>
      <c r="Q42" s="29"/>
      <c r="R42" s="29"/>
      <c r="S42" s="30"/>
      <c r="T42" s="30"/>
      <c r="U42" s="31"/>
      <c r="V42" s="5"/>
      <c r="W42" s="5"/>
      <c r="X42" s="5"/>
      <c r="Y42" s="5"/>
      <c r="Z42" s="5"/>
    </row>
    <row r="43" spans="1:26" ht="14.25" customHeight="1">
      <c r="A43" s="23">
        <v>37</v>
      </c>
      <c r="B43" s="24" t="s">
        <v>234</v>
      </c>
      <c r="C43" s="23" t="s">
        <v>920</v>
      </c>
      <c r="D43" s="25" t="s">
        <v>921</v>
      </c>
      <c r="E43" s="26" t="s">
        <v>922</v>
      </c>
      <c r="F43" s="27" t="s">
        <v>905</v>
      </c>
      <c r="G43" s="28" t="s">
        <v>373</v>
      </c>
      <c r="H43" s="29" t="s">
        <v>923</v>
      </c>
      <c r="I43" s="30" t="s">
        <v>924</v>
      </c>
      <c r="J43" s="30"/>
      <c r="K43" s="29"/>
      <c r="L43" s="29"/>
      <c r="M43" s="29"/>
      <c r="N43" s="29"/>
      <c r="O43" s="29"/>
      <c r="P43" s="29"/>
      <c r="Q43" s="29"/>
      <c r="R43" s="29"/>
      <c r="S43" s="30"/>
      <c r="T43" s="30"/>
      <c r="U43" s="31"/>
      <c r="V43" s="5"/>
      <c r="W43" s="5"/>
      <c r="X43" s="5"/>
      <c r="Y43" s="5"/>
      <c r="Z43" s="5"/>
    </row>
    <row r="44" spans="1:26" ht="14.25" customHeight="1">
      <c r="A44" s="23">
        <v>38</v>
      </c>
      <c r="B44" s="24" t="s">
        <v>234</v>
      </c>
      <c r="C44" s="23" t="s">
        <v>925</v>
      </c>
      <c r="D44" s="25" t="s">
        <v>926</v>
      </c>
      <c r="E44" s="26" t="s">
        <v>927</v>
      </c>
      <c r="F44" s="27" t="s">
        <v>905</v>
      </c>
      <c r="G44" s="28" t="s">
        <v>373</v>
      </c>
      <c r="H44" s="29" t="s">
        <v>218</v>
      </c>
      <c r="I44" s="30" t="s">
        <v>219</v>
      </c>
      <c r="J44" s="30"/>
      <c r="K44" s="29"/>
      <c r="L44" s="29"/>
      <c r="M44" s="29"/>
      <c r="N44" s="29"/>
      <c r="O44" s="29"/>
      <c r="P44" s="29"/>
      <c r="Q44" s="29"/>
      <c r="R44" s="29"/>
      <c r="S44" s="30"/>
      <c r="T44" s="30"/>
      <c r="U44" s="31"/>
      <c r="V44" s="5"/>
      <c r="W44" s="5"/>
      <c r="X44" s="5"/>
      <c r="Y44" s="5"/>
      <c r="Z44" s="5"/>
    </row>
    <row r="45" spans="1:26" ht="14.25" customHeight="1">
      <c r="A45" s="23">
        <v>39</v>
      </c>
      <c r="B45" s="24" t="s">
        <v>234</v>
      </c>
      <c r="C45" s="23" t="s">
        <v>928</v>
      </c>
      <c r="D45" s="25" t="s">
        <v>929</v>
      </c>
      <c r="E45" s="26" t="s">
        <v>930</v>
      </c>
      <c r="F45" s="27" t="s">
        <v>905</v>
      </c>
      <c r="G45" s="28" t="s">
        <v>373</v>
      </c>
      <c r="H45" s="29" t="s">
        <v>302</v>
      </c>
      <c r="I45" s="30" t="s">
        <v>931</v>
      </c>
      <c r="J45" s="30"/>
      <c r="K45" s="29"/>
      <c r="L45" s="29"/>
      <c r="M45" s="29"/>
      <c r="N45" s="29"/>
      <c r="O45" s="29"/>
      <c r="P45" s="29"/>
      <c r="Q45" s="29"/>
      <c r="R45" s="29"/>
      <c r="S45" s="30"/>
      <c r="T45" s="30"/>
      <c r="U45" s="31"/>
      <c r="V45" s="5"/>
      <c r="W45" s="5"/>
      <c r="X45" s="5"/>
      <c r="Y45" s="5"/>
      <c r="Z45" s="5"/>
    </row>
    <row r="46" spans="1:26" ht="14.25" customHeight="1">
      <c r="A46" s="23">
        <v>40</v>
      </c>
      <c r="B46" s="24" t="s">
        <v>234</v>
      </c>
      <c r="C46" s="23" t="s">
        <v>932</v>
      </c>
      <c r="D46" s="25" t="s">
        <v>933</v>
      </c>
      <c r="E46" s="26" t="s">
        <v>934</v>
      </c>
      <c r="F46" s="27" t="s">
        <v>905</v>
      </c>
      <c r="G46" s="28" t="s">
        <v>373</v>
      </c>
      <c r="H46" s="29" t="s">
        <v>231</v>
      </c>
      <c r="I46" s="30" t="s">
        <v>232</v>
      </c>
      <c r="J46" s="30"/>
      <c r="K46" s="29"/>
      <c r="L46" s="29"/>
      <c r="M46" s="29"/>
      <c r="N46" s="29"/>
      <c r="O46" s="29"/>
      <c r="P46" s="29"/>
      <c r="Q46" s="29"/>
      <c r="R46" s="29"/>
      <c r="S46" s="30"/>
      <c r="T46" s="30"/>
      <c r="U46" s="31"/>
      <c r="V46" s="5"/>
      <c r="W46" s="5"/>
      <c r="X46" s="5"/>
      <c r="Y46" s="5"/>
      <c r="Z46" s="5"/>
    </row>
    <row r="47" spans="1:26" ht="14.25" customHeight="1">
      <c r="A47" s="23">
        <v>41</v>
      </c>
      <c r="B47" s="24" t="s">
        <v>234</v>
      </c>
      <c r="C47" s="23" t="s">
        <v>935</v>
      </c>
      <c r="D47" s="25" t="s">
        <v>936</v>
      </c>
      <c r="E47" s="26" t="s">
        <v>937</v>
      </c>
      <c r="F47" s="27" t="s">
        <v>905</v>
      </c>
      <c r="G47" s="28" t="s">
        <v>373</v>
      </c>
      <c r="H47" s="29" t="s">
        <v>235</v>
      </c>
      <c r="I47" s="30" t="s">
        <v>236</v>
      </c>
      <c r="J47" s="30"/>
      <c r="K47" s="29"/>
      <c r="L47" s="29"/>
      <c r="M47" s="29"/>
      <c r="N47" s="29"/>
      <c r="O47" s="29"/>
      <c r="P47" s="29"/>
      <c r="Q47" s="29"/>
      <c r="R47" s="29"/>
      <c r="S47" s="30"/>
      <c r="T47" s="30"/>
      <c r="U47" s="31"/>
      <c r="V47" s="5"/>
      <c r="W47" s="5"/>
      <c r="X47" s="5"/>
      <c r="Y47" s="5"/>
      <c r="Z47" s="5"/>
    </row>
    <row r="48" spans="1:26" ht="14.25" customHeight="1">
      <c r="A48" s="23">
        <v>42</v>
      </c>
      <c r="B48" s="24" t="s">
        <v>234</v>
      </c>
      <c r="C48" s="23" t="s">
        <v>938</v>
      </c>
      <c r="D48" s="25" t="s">
        <v>939</v>
      </c>
      <c r="E48" s="26" t="s">
        <v>940</v>
      </c>
      <c r="F48" s="27" t="s">
        <v>905</v>
      </c>
      <c r="G48" s="28" t="s">
        <v>373</v>
      </c>
      <c r="H48" s="29" t="s">
        <v>280</v>
      </c>
      <c r="I48" s="30" t="s">
        <v>281</v>
      </c>
      <c r="J48" s="30"/>
      <c r="K48" s="29"/>
      <c r="L48" s="29"/>
      <c r="M48" s="29"/>
      <c r="N48" s="29"/>
      <c r="O48" s="29"/>
      <c r="P48" s="29"/>
      <c r="Q48" s="29"/>
      <c r="R48" s="29"/>
      <c r="S48" s="30"/>
      <c r="T48" s="30"/>
      <c r="U48" s="31"/>
      <c r="V48" s="5"/>
      <c r="W48" s="5"/>
      <c r="X48" s="5"/>
      <c r="Y48" s="5"/>
      <c r="Z48" s="5"/>
    </row>
    <row r="49" spans="1:26" ht="14.25" customHeight="1">
      <c r="A49" s="23">
        <v>43</v>
      </c>
      <c r="B49" s="24" t="s">
        <v>350</v>
      </c>
      <c r="C49" s="23" t="s">
        <v>941</v>
      </c>
      <c r="D49" s="25" t="s">
        <v>942</v>
      </c>
      <c r="E49" s="26" t="s">
        <v>943</v>
      </c>
      <c r="F49" s="23" t="s">
        <v>944</v>
      </c>
      <c r="G49" s="25" t="s">
        <v>945</v>
      </c>
      <c r="H49" s="29" t="s">
        <v>200</v>
      </c>
      <c r="I49" s="30" t="s">
        <v>202</v>
      </c>
      <c r="J49" s="30"/>
      <c r="K49" s="29"/>
      <c r="L49" s="29"/>
      <c r="M49" s="29"/>
      <c r="N49" s="29"/>
      <c r="O49" s="29"/>
      <c r="P49" s="29"/>
      <c r="Q49" s="29"/>
      <c r="R49" s="29"/>
      <c r="S49" s="30"/>
      <c r="T49" s="30"/>
      <c r="U49" s="31"/>
      <c r="V49" s="5"/>
      <c r="W49" s="5"/>
      <c r="X49" s="5"/>
      <c r="Y49" s="5"/>
      <c r="Z49" s="5"/>
    </row>
    <row r="50" spans="1:26" ht="14.25" customHeight="1">
      <c r="A50" s="23">
        <v>44</v>
      </c>
      <c r="B50" s="24" t="s">
        <v>350</v>
      </c>
      <c r="C50" s="23" t="s">
        <v>946</v>
      </c>
      <c r="D50" s="25" t="s">
        <v>947</v>
      </c>
      <c r="E50" s="26" t="s">
        <v>948</v>
      </c>
      <c r="F50" s="23" t="s">
        <v>905</v>
      </c>
      <c r="G50" s="25" t="s">
        <v>373</v>
      </c>
      <c r="H50" s="29" t="s">
        <v>949</v>
      </c>
      <c r="I50" s="30" t="s">
        <v>931</v>
      </c>
      <c r="J50" s="30"/>
      <c r="K50" s="29"/>
      <c r="L50" s="29"/>
      <c r="M50" s="29"/>
      <c r="N50" s="29"/>
      <c r="O50" s="29"/>
      <c r="P50" s="29"/>
      <c r="Q50" s="29"/>
      <c r="R50" s="29"/>
      <c r="S50" s="30"/>
      <c r="T50" s="30"/>
      <c r="U50" s="31"/>
      <c r="V50" s="5"/>
      <c r="W50" s="5"/>
      <c r="X50" s="5"/>
      <c r="Y50" s="5"/>
      <c r="Z50" s="5"/>
    </row>
    <row r="51" spans="1:26" ht="14.25" customHeight="1">
      <c r="A51" s="23">
        <v>45</v>
      </c>
      <c r="B51" s="24" t="s">
        <v>350</v>
      </c>
      <c r="C51" s="23" t="s">
        <v>950</v>
      </c>
      <c r="D51" s="25" t="s">
        <v>951</v>
      </c>
      <c r="E51" s="26" t="s">
        <v>952</v>
      </c>
      <c r="F51" s="23" t="s">
        <v>905</v>
      </c>
      <c r="G51" s="25" t="s">
        <v>373</v>
      </c>
      <c r="H51" s="29" t="s">
        <v>299</v>
      </c>
      <c r="I51" s="30" t="s">
        <v>238</v>
      </c>
      <c r="J51" s="30"/>
      <c r="K51" s="29"/>
      <c r="L51" s="29"/>
      <c r="M51" s="29"/>
      <c r="N51" s="29"/>
      <c r="O51" s="29"/>
      <c r="P51" s="29"/>
      <c r="Q51" s="29"/>
      <c r="R51" s="29"/>
      <c r="S51" s="30"/>
      <c r="T51" s="30"/>
      <c r="U51" s="31"/>
      <c r="V51" s="5"/>
      <c r="W51" s="5"/>
      <c r="X51" s="5"/>
      <c r="Y51" s="5"/>
      <c r="Z51" s="5"/>
    </row>
    <row r="52" spans="1:26" ht="14.25" customHeight="1">
      <c r="A52" s="23">
        <v>46</v>
      </c>
      <c r="B52" s="24" t="s">
        <v>350</v>
      </c>
      <c r="C52" s="23" t="s">
        <v>953</v>
      </c>
      <c r="D52" s="25" t="s">
        <v>954</v>
      </c>
      <c r="E52" s="26" t="s">
        <v>955</v>
      </c>
      <c r="F52" s="27" t="s">
        <v>822</v>
      </c>
      <c r="G52" s="28" t="s">
        <v>320</v>
      </c>
      <c r="H52" s="29" t="s">
        <v>319</v>
      </c>
      <c r="I52" s="30" t="s">
        <v>320</v>
      </c>
      <c r="J52" s="30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  <c r="V52" s="5"/>
      <c r="W52" s="5"/>
      <c r="X52" s="5"/>
      <c r="Y52" s="5"/>
      <c r="Z52" s="5"/>
    </row>
    <row r="53" spans="1:26" ht="14.25" customHeight="1">
      <c r="A53" s="23">
        <v>47</v>
      </c>
      <c r="B53" s="24" t="s">
        <v>470</v>
      </c>
      <c r="C53" s="23" t="s">
        <v>476</v>
      </c>
      <c r="D53" s="25" t="s">
        <v>956</v>
      </c>
      <c r="E53" s="26" t="s">
        <v>957</v>
      </c>
      <c r="F53" s="27" t="s">
        <v>958</v>
      </c>
      <c r="G53" s="28" t="s">
        <v>959</v>
      </c>
      <c r="H53" s="29" t="s">
        <v>960</v>
      </c>
      <c r="I53" s="30" t="s">
        <v>961</v>
      </c>
      <c r="J53" s="30"/>
      <c r="K53" s="29"/>
      <c r="L53" s="29"/>
      <c r="M53" s="29"/>
      <c r="N53" s="29"/>
      <c r="O53" s="29"/>
      <c r="P53" s="29"/>
      <c r="Q53" s="29"/>
      <c r="R53" s="29"/>
      <c r="S53" s="30"/>
      <c r="T53" s="30"/>
      <c r="U53" s="31"/>
      <c r="V53" s="5"/>
      <c r="W53" s="5"/>
      <c r="X53" s="5"/>
      <c r="Y53" s="5"/>
      <c r="Z53" s="5"/>
    </row>
    <row r="54" spans="1:26" ht="14.25" customHeight="1">
      <c r="A54" s="23">
        <v>48</v>
      </c>
      <c r="B54" s="24" t="s">
        <v>470</v>
      </c>
      <c r="C54" s="23" t="s">
        <v>471</v>
      </c>
      <c r="D54" s="25" t="s">
        <v>962</v>
      </c>
      <c r="E54" s="26" t="s">
        <v>963</v>
      </c>
      <c r="F54" s="27" t="s">
        <v>964</v>
      </c>
      <c r="G54" s="28" t="s">
        <v>965</v>
      </c>
      <c r="H54" s="29" t="s">
        <v>960</v>
      </c>
      <c r="I54" s="30" t="s">
        <v>961</v>
      </c>
      <c r="J54" s="30"/>
      <c r="K54" s="29"/>
      <c r="L54" s="29"/>
      <c r="M54" s="29"/>
      <c r="N54" s="29"/>
      <c r="O54" s="29"/>
      <c r="P54" s="29"/>
      <c r="Q54" s="29"/>
      <c r="R54" s="29"/>
      <c r="S54" s="30"/>
      <c r="T54" s="30"/>
      <c r="U54" s="31"/>
      <c r="V54" s="5"/>
      <c r="W54" s="5"/>
      <c r="X54" s="5"/>
      <c r="Y54" s="5"/>
      <c r="Z54" s="5"/>
    </row>
    <row r="55" spans="1:26" ht="14.25" customHeight="1">
      <c r="A55" s="23">
        <v>49</v>
      </c>
      <c r="B55" s="24" t="s">
        <v>470</v>
      </c>
      <c r="C55" s="23" t="s">
        <v>475</v>
      </c>
      <c r="D55" s="25" t="s">
        <v>966</v>
      </c>
      <c r="E55" s="26" t="s">
        <v>967</v>
      </c>
      <c r="F55" s="27" t="s">
        <v>968</v>
      </c>
      <c r="G55" s="28" t="s">
        <v>969</v>
      </c>
      <c r="H55" s="29" t="s">
        <v>960</v>
      </c>
      <c r="I55" s="30" t="s">
        <v>961</v>
      </c>
      <c r="J55" s="30"/>
      <c r="K55" s="29"/>
      <c r="L55" s="29"/>
      <c r="M55" s="29"/>
      <c r="N55" s="29"/>
      <c r="O55" s="29"/>
      <c r="P55" s="29"/>
      <c r="Q55" s="29"/>
      <c r="R55" s="29"/>
      <c r="S55" s="30"/>
      <c r="T55" s="30"/>
      <c r="U55" s="31"/>
      <c r="V55" s="5"/>
      <c r="W55" s="5"/>
      <c r="X55" s="5"/>
      <c r="Y55" s="5"/>
      <c r="Z55" s="5"/>
    </row>
    <row r="56" spans="1:26" ht="14.25" customHeight="1">
      <c r="A56" s="23">
        <v>50</v>
      </c>
      <c r="B56" s="24" t="s">
        <v>470</v>
      </c>
      <c r="C56" s="23" t="s">
        <v>481</v>
      </c>
      <c r="D56" s="25" t="s">
        <v>970</v>
      </c>
      <c r="E56" s="26" t="s">
        <v>971</v>
      </c>
      <c r="F56" s="23" t="s">
        <v>972</v>
      </c>
      <c r="G56" s="25" t="s">
        <v>973</v>
      </c>
      <c r="H56" s="29" t="s">
        <v>974</v>
      </c>
      <c r="I56" s="30" t="s">
        <v>975</v>
      </c>
      <c r="J56" s="30"/>
      <c r="K56" s="29"/>
      <c r="L56" s="29"/>
      <c r="M56" s="29"/>
      <c r="N56" s="29"/>
      <c r="O56" s="29"/>
      <c r="P56" s="29"/>
      <c r="Q56" s="29"/>
      <c r="R56" s="29"/>
      <c r="S56" s="30"/>
      <c r="T56" s="30"/>
      <c r="U56" s="31"/>
      <c r="V56" s="5"/>
      <c r="W56" s="5"/>
      <c r="X56" s="5"/>
      <c r="Y56" s="5"/>
      <c r="Z56" s="5"/>
    </row>
    <row r="57" spans="1:26" ht="14.25" customHeight="1">
      <c r="A57" s="23">
        <v>51</v>
      </c>
      <c r="B57" s="24" t="s">
        <v>470</v>
      </c>
      <c r="C57" s="23" t="s">
        <v>480</v>
      </c>
      <c r="D57" s="25" t="s">
        <v>976</v>
      </c>
      <c r="E57" s="26" t="s">
        <v>977</v>
      </c>
      <c r="F57" s="23" t="s">
        <v>978</v>
      </c>
      <c r="G57" s="25" t="s">
        <v>979</v>
      </c>
      <c r="H57" s="29" t="s">
        <v>974</v>
      </c>
      <c r="I57" s="30" t="s">
        <v>975</v>
      </c>
      <c r="J57" s="30"/>
      <c r="K57" s="29"/>
      <c r="L57" s="29"/>
      <c r="M57" s="29"/>
      <c r="N57" s="29"/>
      <c r="O57" s="29"/>
      <c r="P57" s="29"/>
      <c r="Q57" s="29"/>
      <c r="R57" s="29"/>
      <c r="S57" s="30"/>
      <c r="T57" s="30"/>
      <c r="U57" s="31"/>
      <c r="V57" s="5"/>
      <c r="W57" s="5"/>
      <c r="X57" s="5"/>
      <c r="Y57" s="5"/>
      <c r="Z57" s="5"/>
    </row>
    <row r="58" spans="1:26" ht="14.25" customHeight="1">
      <c r="A58" s="23">
        <v>52</v>
      </c>
      <c r="B58" s="24" t="s">
        <v>470</v>
      </c>
      <c r="C58" s="23" t="s">
        <v>980</v>
      </c>
      <c r="D58" s="25" t="s">
        <v>981</v>
      </c>
      <c r="E58" s="26" t="s">
        <v>982</v>
      </c>
      <c r="F58" s="23" t="s">
        <v>983</v>
      </c>
      <c r="G58" s="25" t="s">
        <v>984</v>
      </c>
      <c r="H58" s="29" t="s">
        <v>974</v>
      </c>
      <c r="I58" s="30" t="s">
        <v>975</v>
      </c>
      <c r="J58" s="30"/>
      <c r="K58" s="29"/>
      <c r="L58" s="29"/>
      <c r="M58" s="29"/>
      <c r="N58" s="29"/>
      <c r="O58" s="29"/>
      <c r="P58" s="29"/>
      <c r="Q58" s="29"/>
      <c r="R58" s="29"/>
      <c r="S58" s="30"/>
      <c r="T58" s="30"/>
      <c r="U58" s="31"/>
      <c r="V58" s="5"/>
      <c r="W58" s="5"/>
      <c r="X58" s="5"/>
      <c r="Y58" s="5"/>
      <c r="Z58" s="5"/>
    </row>
    <row r="59" spans="1:26" ht="14.25" customHeight="1">
      <c r="A59" s="23">
        <v>53</v>
      </c>
      <c r="B59" s="34" t="s">
        <v>985</v>
      </c>
      <c r="C59" s="23" t="s">
        <v>986</v>
      </c>
      <c r="D59" s="25" t="s">
        <v>987</v>
      </c>
      <c r="E59" s="26" t="s">
        <v>988</v>
      </c>
      <c r="F59" s="23" t="s">
        <v>827</v>
      </c>
      <c r="G59" s="25" t="s">
        <v>828</v>
      </c>
      <c r="H59" s="29" t="s">
        <v>989</v>
      </c>
      <c r="I59" s="30" t="s">
        <v>990</v>
      </c>
      <c r="J59" s="30"/>
      <c r="K59" s="29"/>
      <c r="L59" s="29"/>
      <c r="M59" s="29"/>
      <c r="N59" s="29"/>
      <c r="O59" s="29"/>
      <c r="P59" s="29"/>
      <c r="Q59" s="29"/>
      <c r="R59" s="29"/>
      <c r="S59" s="30"/>
      <c r="T59" s="30"/>
      <c r="U59" s="31"/>
      <c r="V59" s="5"/>
      <c r="W59" s="5"/>
      <c r="X59" s="5"/>
      <c r="Y59" s="5"/>
      <c r="Z59" s="5"/>
    </row>
    <row r="60" spans="1:26" ht="14.25" customHeight="1">
      <c r="A60" s="23">
        <v>54</v>
      </c>
      <c r="B60" s="34" t="s">
        <v>985</v>
      </c>
      <c r="C60" s="23" t="s">
        <v>991</v>
      </c>
      <c r="D60" s="25" t="s">
        <v>992</v>
      </c>
      <c r="E60" s="35" t="s">
        <v>993</v>
      </c>
      <c r="F60" s="23" t="s">
        <v>994</v>
      </c>
      <c r="G60" s="25" t="s">
        <v>995</v>
      </c>
      <c r="H60" s="29" t="s">
        <v>331</v>
      </c>
      <c r="I60" s="30" t="s">
        <v>329</v>
      </c>
      <c r="J60" s="30"/>
      <c r="K60" s="29"/>
      <c r="L60" s="29"/>
      <c r="M60" s="29"/>
      <c r="N60" s="29"/>
      <c r="O60" s="29"/>
      <c r="P60" s="29"/>
      <c r="Q60" s="29"/>
      <c r="R60" s="29"/>
      <c r="S60" s="30"/>
      <c r="T60" s="30"/>
      <c r="U60" s="31"/>
      <c r="V60" s="5"/>
      <c r="W60" s="5"/>
      <c r="X60" s="5"/>
      <c r="Y60" s="5"/>
      <c r="Z60" s="5"/>
    </row>
    <row r="61" spans="1:26" ht="14.25" customHeight="1">
      <c r="A61" s="23">
        <v>55</v>
      </c>
      <c r="B61" s="35" t="s">
        <v>996</v>
      </c>
      <c r="C61" s="23" t="s">
        <v>997</v>
      </c>
      <c r="D61" s="25" t="s">
        <v>998</v>
      </c>
      <c r="E61" s="26" t="s">
        <v>999</v>
      </c>
      <c r="F61" s="23" t="s">
        <v>1000</v>
      </c>
      <c r="G61" s="36" t="s">
        <v>1001</v>
      </c>
      <c r="H61" s="29" t="s">
        <v>1002</v>
      </c>
      <c r="I61" s="30" t="s">
        <v>1003</v>
      </c>
      <c r="J61" s="30"/>
      <c r="K61" s="29"/>
      <c r="L61" s="29"/>
      <c r="M61" s="29"/>
      <c r="N61" s="29"/>
      <c r="O61" s="29"/>
      <c r="P61" s="29"/>
      <c r="Q61" s="29"/>
      <c r="R61" s="29"/>
      <c r="S61" s="30"/>
      <c r="T61" s="30"/>
      <c r="U61" s="31"/>
      <c r="V61" s="5"/>
      <c r="W61" s="5"/>
      <c r="X61" s="5"/>
      <c r="Y61" s="5"/>
      <c r="Z61" s="5"/>
    </row>
    <row r="62" spans="1:26" ht="14.25" customHeight="1">
      <c r="A62" s="23">
        <v>56</v>
      </c>
      <c r="B62" s="35" t="s">
        <v>1004</v>
      </c>
      <c r="C62" s="23" t="s">
        <v>487</v>
      </c>
      <c r="D62" s="25" t="s">
        <v>1005</v>
      </c>
      <c r="E62" s="26" t="s">
        <v>1006</v>
      </c>
      <c r="F62" s="23" t="s">
        <v>751</v>
      </c>
      <c r="G62" s="25" t="s">
        <v>52</v>
      </c>
      <c r="H62" s="29" t="s">
        <v>61</v>
      </c>
      <c r="I62" s="30" t="s">
        <v>62</v>
      </c>
      <c r="J62" s="30"/>
      <c r="K62" s="29"/>
      <c r="L62" s="29"/>
      <c r="M62" s="29"/>
      <c r="N62" s="29"/>
      <c r="O62" s="29"/>
      <c r="P62" s="29"/>
      <c r="Q62" s="29"/>
      <c r="R62" s="29"/>
      <c r="S62" s="30"/>
      <c r="T62" s="30"/>
      <c r="U62" s="31"/>
      <c r="V62" s="5"/>
      <c r="W62" s="5"/>
      <c r="X62" s="5"/>
      <c r="Y62" s="5"/>
      <c r="Z62" s="5"/>
    </row>
    <row r="63" spans="1:26" ht="14.25" customHeight="1">
      <c r="A63" s="23">
        <v>57</v>
      </c>
      <c r="B63" s="35" t="s">
        <v>1007</v>
      </c>
      <c r="C63" s="23" t="s">
        <v>51</v>
      </c>
      <c r="D63" s="25" t="s">
        <v>1008</v>
      </c>
      <c r="E63" s="26" t="s">
        <v>1009</v>
      </c>
      <c r="F63" s="27" t="s">
        <v>905</v>
      </c>
      <c r="G63" s="28" t="s">
        <v>373</v>
      </c>
      <c r="H63" s="29" t="s">
        <v>1010</v>
      </c>
      <c r="I63" s="30" t="s">
        <v>1011</v>
      </c>
      <c r="J63" s="30"/>
      <c r="K63" s="29"/>
      <c r="L63" s="29"/>
      <c r="M63" s="29"/>
      <c r="N63" s="29"/>
      <c r="O63" s="29"/>
      <c r="P63" s="29"/>
      <c r="Q63" s="29"/>
      <c r="R63" s="29"/>
      <c r="S63" s="30"/>
      <c r="T63" s="30"/>
      <c r="U63" s="31"/>
      <c r="V63" s="5"/>
      <c r="W63" s="5"/>
      <c r="X63" s="5"/>
      <c r="Y63" s="5"/>
      <c r="Z63" s="5"/>
    </row>
    <row r="64" spans="1:26" ht="14.25" customHeight="1">
      <c r="A64" s="5"/>
      <c r="B64" s="22"/>
      <c r="C64" s="22"/>
      <c r="D64" s="5"/>
      <c r="E64" s="5"/>
      <c r="F64" s="22"/>
      <c r="G64" s="5"/>
      <c r="H64" s="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5"/>
      <c r="V64" s="5"/>
      <c r="W64" s="5"/>
      <c r="X64" s="5"/>
      <c r="Y64" s="5"/>
      <c r="Z64" s="5"/>
    </row>
    <row r="65" spans="1:26" ht="14.25" customHeight="1">
      <c r="A65" s="5"/>
      <c r="B65" s="22"/>
      <c r="C65" s="22"/>
      <c r="D65" s="5"/>
      <c r="E65" s="5"/>
      <c r="F65" s="22"/>
      <c r="G65" s="5"/>
      <c r="H65" s="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5"/>
      <c r="V65" s="5"/>
      <c r="W65" s="5"/>
      <c r="X65" s="5"/>
      <c r="Y65" s="5"/>
      <c r="Z65" s="5"/>
    </row>
    <row r="66" spans="1:26" ht="14.25" customHeight="1">
      <c r="A66" s="5"/>
      <c r="B66" s="22"/>
      <c r="C66" s="22"/>
      <c r="D66" s="5"/>
      <c r="E66" s="5"/>
      <c r="F66" s="22"/>
      <c r="G66" s="5"/>
      <c r="H66" s="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5"/>
      <c r="V66" s="5"/>
      <c r="W66" s="5"/>
      <c r="X66" s="5"/>
      <c r="Y66" s="5"/>
      <c r="Z66" s="5"/>
    </row>
    <row r="67" spans="1:26" ht="14.25" customHeight="1">
      <c r="A67" s="5"/>
      <c r="B67" s="22"/>
      <c r="C67" s="22"/>
      <c r="D67" s="5"/>
      <c r="E67" s="5"/>
      <c r="F67" s="22"/>
      <c r="G67" s="5"/>
      <c r="H67" s="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5"/>
      <c r="V67" s="5"/>
      <c r="W67" s="5"/>
      <c r="X67" s="5"/>
      <c r="Y67" s="5"/>
      <c r="Z67" s="5"/>
    </row>
    <row r="68" spans="1:26" ht="14.25" customHeight="1">
      <c r="A68" s="5"/>
      <c r="B68" s="22"/>
      <c r="C68" s="22"/>
      <c r="D68" s="5"/>
      <c r="E68" s="5"/>
      <c r="F68" s="22"/>
      <c r="G68" s="5"/>
      <c r="H68" s="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5"/>
      <c r="V68" s="5"/>
      <c r="W68" s="5"/>
      <c r="X68" s="5"/>
      <c r="Y68" s="5"/>
      <c r="Z68" s="5"/>
    </row>
    <row r="69" spans="1:26" ht="14.25" customHeight="1">
      <c r="A69" s="5"/>
      <c r="B69" s="22"/>
      <c r="C69" s="22"/>
      <c r="D69" s="5"/>
      <c r="E69" s="5"/>
      <c r="F69" s="22"/>
      <c r="G69" s="5"/>
      <c r="H69" s="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5"/>
      <c r="V69" s="5"/>
      <c r="W69" s="5"/>
      <c r="X69" s="5"/>
      <c r="Y69" s="5"/>
      <c r="Z69" s="5"/>
    </row>
    <row r="70" spans="1:26" ht="14.25" customHeight="1">
      <c r="A70" s="5"/>
      <c r="B70" s="22"/>
      <c r="C70" s="22"/>
      <c r="D70" s="5"/>
      <c r="E70" s="5"/>
      <c r="F70" s="22"/>
      <c r="G70" s="5"/>
      <c r="H70" s="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5"/>
      <c r="V70" s="5"/>
      <c r="W70" s="5"/>
      <c r="X70" s="5"/>
      <c r="Y70" s="5"/>
      <c r="Z70" s="5"/>
    </row>
    <row r="71" spans="1:26" ht="14.25" customHeight="1">
      <c r="A71" s="5"/>
      <c r="B71" s="22"/>
      <c r="C71" s="22"/>
      <c r="D71" s="5"/>
      <c r="E71" s="5"/>
      <c r="F71" s="22"/>
      <c r="G71" s="5"/>
      <c r="H71" s="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5"/>
      <c r="V71" s="5"/>
      <c r="W71" s="5"/>
      <c r="X71" s="5"/>
      <c r="Y71" s="5"/>
      <c r="Z71" s="5"/>
    </row>
    <row r="72" spans="1:26" ht="14.25" customHeight="1">
      <c r="A72" s="5"/>
      <c r="B72" s="22"/>
      <c r="C72" s="22"/>
      <c r="D72" s="5"/>
      <c r="E72" s="5"/>
      <c r="F72" s="22"/>
      <c r="G72" s="5"/>
      <c r="H72" s="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5"/>
      <c r="V72" s="5"/>
      <c r="W72" s="5"/>
      <c r="X72" s="5"/>
      <c r="Y72" s="5"/>
      <c r="Z72" s="5"/>
    </row>
    <row r="73" spans="1:26" ht="14.25" customHeight="1">
      <c r="A73" s="5"/>
      <c r="B73" s="22"/>
      <c r="C73" s="22"/>
      <c r="D73" s="5"/>
      <c r="E73" s="5"/>
      <c r="F73" s="22"/>
      <c r="G73" s="5"/>
      <c r="H73" s="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5"/>
      <c r="V73" s="5"/>
      <c r="W73" s="5"/>
      <c r="X73" s="5"/>
      <c r="Y73" s="5"/>
      <c r="Z73" s="5"/>
    </row>
    <row r="74" spans="1:26" ht="14.25" customHeight="1">
      <c r="A74" s="5"/>
      <c r="B74" s="22"/>
      <c r="C74" s="22"/>
      <c r="D74" s="5"/>
      <c r="E74" s="5"/>
      <c r="F74" s="22"/>
      <c r="G74" s="5"/>
      <c r="H74" s="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5"/>
      <c r="V74" s="5"/>
      <c r="W74" s="5"/>
      <c r="X74" s="5"/>
      <c r="Y74" s="5"/>
      <c r="Z74" s="5"/>
    </row>
    <row r="75" spans="1:26" ht="14.25" customHeight="1">
      <c r="A75" s="5"/>
      <c r="B75" s="22"/>
      <c r="C75" s="22"/>
      <c r="D75" s="5"/>
      <c r="E75" s="5"/>
      <c r="F75" s="22"/>
      <c r="G75" s="5"/>
      <c r="H75" s="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5"/>
      <c r="V75" s="5"/>
      <c r="W75" s="5"/>
      <c r="X75" s="5"/>
      <c r="Y75" s="5"/>
      <c r="Z75" s="5"/>
    </row>
    <row r="76" spans="1:26" ht="14.25" customHeight="1">
      <c r="A76" s="5"/>
      <c r="B76" s="22"/>
      <c r="C76" s="22"/>
      <c r="D76" s="5"/>
      <c r="E76" s="5"/>
      <c r="F76" s="22"/>
      <c r="G76" s="5"/>
      <c r="H76" s="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5"/>
      <c r="V76" s="5"/>
      <c r="W76" s="5"/>
      <c r="X76" s="5"/>
      <c r="Y76" s="5"/>
      <c r="Z76" s="5"/>
    </row>
    <row r="77" spans="1:26" ht="14.25" customHeight="1">
      <c r="A77" s="5"/>
      <c r="B77" s="22"/>
      <c r="C77" s="22"/>
      <c r="D77" s="5"/>
      <c r="E77" s="5"/>
      <c r="F77" s="22"/>
      <c r="G77" s="5"/>
      <c r="H77" s="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5"/>
      <c r="V77" s="5"/>
      <c r="W77" s="5"/>
      <c r="X77" s="5"/>
      <c r="Y77" s="5"/>
      <c r="Z77" s="5"/>
    </row>
    <row r="78" spans="1:26" ht="14.25" customHeight="1">
      <c r="A78" s="5"/>
      <c r="B78" s="22"/>
      <c r="C78" s="22"/>
      <c r="D78" s="5"/>
      <c r="E78" s="5"/>
      <c r="F78" s="22"/>
      <c r="G78" s="5"/>
      <c r="H78" s="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5"/>
      <c r="V78" s="5"/>
      <c r="W78" s="5"/>
      <c r="X78" s="5"/>
      <c r="Y78" s="5"/>
      <c r="Z78" s="5"/>
    </row>
    <row r="79" spans="1:26" ht="14.25" customHeight="1">
      <c r="A79" s="5"/>
      <c r="B79" s="22"/>
      <c r="C79" s="22"/>
      <c r="D79" s="5"/>
      <c r="E79" s="5"/>
      <c r="F79" s="22"/>
      <c r="G79" s="5"/>
      <c r="H79" s="5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5"/>
      <c r="V79" s="5"/>
      <c r="W79" s="5"/>
      <c r="X79" s="5"/>
      <c r="Y79" s="5"/>
      <c r="Z79" s="5"/>
    </row>
    <row r="80" spans="1:26" ht="14.25" customHeight="1">
      <c r="A80" s="5"/>
      <c r="B80" s="22"/>
      <c r="C80" s="22"/>
      <c r="D80" s="5"/>
      <c r="E80" s="5"/>
      <c r="F80" s="22"/>
      <c r="G80" s="5"/>
      <c r="H80" s="5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5"/>
      <c r="V80" s="5"/>
      <c r="W80" s="5"/>
      <c r="X80" s="5"/>
      <c r="Y80" s="5"/>
      <c r="Z80" s="5"/>
    </row>
    <row r="81" spans="1:26" ht="14.25" customHeight="1">
      <c r="A81" s="5"/>
      <c r="B81" s="22"/>
      <c r="C81" s="22"/>
      <c r="D81" s="5"/>
      <c r="E81" s="5"/>
      <c r="F81" s="22"/>
      <c r="G81" s="5"/>
      <c r="H81" s="5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5"/>
      <c r="V81" s="5"/>
      <c r="W81" s="5"/>
      <c r="X81" s="5"/>
      <c r="Y81" s="5"/>
      <c r="Z81" s="5"/>
    </row>
    <row r="82" spans="1:26" ht="14.25" customHeight="1">
      <c r="A82" s="5"/>
      <c r="B82" s="22"/>
      <c r="C82" s="22"/>
      <c r="D82" s="5"/>
      <c r="E82" s="5"/>
      <c r="F82" s="22"/>
      <c r="G82" s="5"/>
      <c r="H82" s="5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5"/>
      <c r="V82" s="5"/>
      <c r="W82" s="5"/>
      <c r="X82" s="5"/>
      <c r="Y82" s="5"/>
      <c r="Z82" s="5"/>
    </row>
    <row r="83" spans="1:26" ht="14.25" customHeight="1">
      <c r="A83" s="5"/>
      <c r="B83" s="22"/>
      <c r="C83" s="22"/>
      <c r="D83" s="5"/>
      <c r="E83" s="5"/>
      <c r="F83" s="22"/>
      <c r="G83" s="5"/>
      <c r="H83" s="5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5"/>
      <c r="V83" s="5"/>
      <c r="W83" s="5"/>
      <c r="X83" s="5"/>
      <c r="Y83" s="5"/>
      <c r="Z83" s="5"/>
    </row>
    <row r="84" spans="1:26" ht="14.25" customHeight="1">
      <c r="A84" s="5"/>
      <c r="B84" s="22"/>
      <c r="C84" s="22"/>
      <c r="D84" s="5"/>
      <c r="E84" s="5"/>
      <c r="F84" s="22"/>
      <c r="G84" s="5"/>
      <c r="H84" s="5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5"/>
      <c r="V84" s="5"/>
      <c r="W84" s="5"/>
      <c r="X84" s="5"/>
      <c r="Y84" s="5"/>
      <c r="Z84" s="5"/>
    </row>
    <row r="85" spans="1:26" ht="14.25" customHeight="1">
      <c r="A85" s="5"/>
      <c r="B85" s="22"/>
      <c r="C85" s="22"/>
      <c r="D85" s="5"/>
      <c r="E85" s="5"/>
      <c r="F85" s="22"/>
      <c r="G85" s="5"/>
      <c r="H85" s="5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5"/>
      <c r="V85" s="5"/>
      <c r="W85" s="5"/>
      <c r="X85" s="5"/>
      <c r="Y85" s="5"/>
      <c r="Z85" s="5"/>
    </row>
    <row r="86" spans="1:26" ht="14.25" customHeight="1">
      <c r="A86" s="5"/>
      <c r="B86" s="22"/>
      <c r="C86" s="22"/>
      <c r="D86" s="5"/>
      <c r="E86" s="5"/>
      <c r="F86" s="22"/>
      <c r="G86" s="5"/>
      <c r="H86" s="5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5"/>
      <c r="V86" s="5"/>
      <c r="W86" s="5"/>
      <c r="X86" s="5"/>
      <c r="Y86" s="5"/>
      <c r="Z86" s="5"/>
    </row>
    <row r="87" spans="1:26" ht="14.25" customHeight="1">
      <c r="A87" s="5"/>
      <c r="B87" s="22"/>
      <c r="C87" s="22"/>
      <c r="D87" s="5"/>
      <c r="E87" s="5"/>
      <c r="F87" s="22"/>
      <c r="G87" s="5"/>
      <c r="H87" s="5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5"/>
      <c r="V87" s="5"/>
      <c r="W87" s="5"/>
      <c r="X87" s="5"/>
      <c r="Y87" s="5"/>
      <c r="Z87" s="5"/>
    </row>
    <row r="88" spans="1:26" ht="14.25" customHeight="1">
      <c r="A88" s="5"/>
      <c r="B88" s="22"/>
      <c r="C88" s="22"/>
      <c r="D88" s="5"/>
      <c r="E88" s="5"/>
      <c r="F88" s="22"/>
      <c r="G88" s="5"/>
      <c r="H88" s="5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5"/>
      <c r="V88" s="5"/>
      <c r="W88" s="5"/>
      <c r="X88" s="5"/>
      <c r="Y88" s="5"/>
      <c r="Z88" s="5"/>
    </row>
    <row r="89" spans="1:26" ht="14.25" customHeight="1">
      <c r="A89" s="5"/>
      <c r="B89" s="22"/>
      <c r="C89" s="22"/>
      <c r="D89" s="5"/>
      <c r="E89" s="5"/>
      <c r="F89" s="22"/>
      <c r="G89" s="5"/>
      <c r="H89" s="5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5"/>
      <c r="V89" s="5"/>
      <c r="W89" s="5"/>
      <c r="X89" s="5"/>
      <c r="Y89" s="5"/>
      <c r="Z89" s="5"/>
    </row>
    <row r="90" spans="1:26" ht="14.25" customHeight="1">
      <c r="A90" s="5"/>
      <c r="B90" s="22"/>
      <c r="C90" s="22"/>
      <c r="D90" s="5"/>
      <c r="E90" s="5"/>
      <c r="F90" s="22"/>
      <c r="G90" s="5"/>
      <c r="H90" s="5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5"/>
      <c r="V90" s="5"/>
      <c r="W90" s="5"/>
      <c r="X90" s="5"/>
      <c r="Y90" s="5"/>
      <c r="Z90" s="5"/>
    </row>
    <row r="91" spans="1:26" ht="14.25" customHeight="1">
      <c r="A91" s="5"/>
      <c r="B91" s="22"/>
      <c r="C91" s="22"/>
      <c r="D91" s="5"/>
      <c r="E91" s="5"/>
      <c r="F91" s="22"/>
      <c r="G91" s="5"/>
      <c r="H91" s="5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5"/>
      <c r="V91" s="5"/>
      <c r="W91" s="5"/>
      <c r="X91" s="5"/>
      <c r="Y91" s="5"/>
      <c r="Z91" s="5"/>
    </row>
    <row r="92" spans="1:26" ht="14.25" customHeight="1">
      <c r="A92" s="5"/>
      <c r="B92" s="22"/>
      <c r="C92" s="22"/>
      <c r="D92" s="5"/>
      <c r="E92" s="5"/>
      <c r="F92" s="22"/>
      <c r="G92" s="5"/>
      <c r="H92" s="5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5"/>
      <c r="V92" s="5"/>
      <c r="W92" s="5"/>
      <c r="X92" s="5"/>
      <c r="Y92" s="5"/>
      <c r="Z92" s="5"/>
    </row>
    <row r="93" spans="1:26" ht="14.25" customHeight="1">
      <c r="A93" s="5"/>
      <c r="B93" s="22"/>
      <c r="C93" s="22"/>
      <c r="D93" s="5"/>
      <c r="E93" s="5"/>
      <c r="F93" s="22"/>
      <c r="G93" s="5"/>
      <c r="H93" s="5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5"/>
      <c r="V93" s="5"/>
      <c r="W93" s="5"/>
      <c r="X93" s="5"/>
      <c r="Y93" s="5"/>
      <c r="Z93" s="5"/>
    </row>
    <row r="94" spans="1:26" ht="14.25" customHeight="1">
      <c r="A94" s="5"/>
      <c r="B94" s="22"/>
      <c r="C94" s="22"/>
      <c r="D94" s="5"/>
      <c r="E94" s="5"/>
      <c r="F94" s="22"/>
      <c r="G94" s="5"/>
      <c r="H94" s="5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5"/>
      <c r="V94" s="5"/>
      <c r="W94" s="5"/>
      <c r="X94" s="5"/>
      <c r="Y94" s="5"/>
      <c r="Z94" s="5"/>
    </row>
    <row r="95" spans="1:26" ht="14.25" customHeight="1">
      <c r="A95" s="5"/>
      <c r="B95" s="22"/>
      <c r="C95" s="22"/>
      <c r="D95" s="5"/>
      <c r="E95" s="5"/>
      <c r="F95" s="22"/>
      <c r="G95" s="5"/>
      <c r="H95" s="5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5"/>
      <c r="V95" s="5"/>
      <c r="W95" s="5"/>
      <c r="X95" s="5"/>
      <c r="Y95" s="5"/>
      <c r="Z95" s="5"/>
    </row>
    <row r="96" spans="1:26" ht="14.25" customHeight="1">
      <c r="A96" s="5"/>
      <c r="B96" s="22"/>
      <c r="C96" s="22"/>
      <c r="D96" s="5"/>
      <c r="E96" s="5"/>
      <c r="F96" s="22"/>
      <c r="G96" s="5"/>
      <c r="H96" s="5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5"/>
      <c r="V96" s="5"/>
      <c r="W96" s="5"/>
      <c r="X96" s="5"/>
      <c r="Y96" s="5"/>
      <c r="Z96" s="5"/>
    </row>
    <row r="97" spans="1:26" ht="14.25" customHeight="1">
      <c r="A97" s="5"/>
      <c r="B97" s="22"/>
      <c r="C97" s="22"/>
      <c r="D97" s="5"/>
      <c r="E97" s="5"/>
      <c r="F97" s="22"/>
      <c r="G97" s="5"/>
      <c r="H97" s="5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5"/>
      <c r="V97" s="5"/>
      <c r="W97" s="5"/>
      <c r="X97" s="5"/>
      <c r="Y97" s="5"/>
      <c r="Z97" s="5"/>
    </row>
    <row r="98" spans="1:26" ht="14.25" customHeight="1">
      <c r="A98" s="5"/>
      <c r="B98" s="22"/>
      <c r="C98" s="22"/>
      <c r="D98" s="5"/>
      <c r="E98" s="5"/>
      <c r="F98" s="22"/>
      <c r="G98" s="5"/>
      <c r="H98" s="5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5"/>
      <c r="V98" s="5"/>
      <c r="W98" s="5"/>
      <c r="X98" s="5"/>
      <c r="Y98" s="5"/>
      <c r="Z98" s="5"/>
    </row>
    <row r="99" spans="1:26" ht="14.25" customHeight="1">
      <c r="A99" s="5"/>
      <c r="B99" s="22"/>
      <c r="C99" s="22"/>
      <c r="D99" s="5"/>
      <c r="E99" s="5"/>
      <c r="F99" s="22"/>
      <c r="G99" s="5"/>
      <c r="H99" s="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5"/>
      <c r="V99" s="5"/>
      <c r="W99" s="5"/>
      <c r="X99" s="5"/>
      <c r="Y99" s="5"/>
      <c r="Z99" s="5"/>
    </row>
    <row r="100" spans="1:26" ht="14.25" customHeight="1">
      <c r="A100" s="5"/>
      <c r="B100" s="22"/>
      <c r="C100" s="22"/>
      <c r="D100" s="5"/>
      <c r="E100" s="5"/>
      <c r="F100" s="22"/>
      <c r="G100" s="5"/>
      <c r="H100" s="5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5"/>
      <c r="V100" s="5"/>
      <c r="W100" s="5"/>
      <c r="X100" s="5"/>
      <c r="Y100" s="5"/>
      <c r="Z100" s="5"/>
    </row>
    <row r="101" spans="1:26" ht="14.25" customHeight="1">
      <c r="A101" s="5"/>
      <c r="B101" s="22"/>
      <c r="C101" s="22"/>
      <c r="D101" s="5"/>
      <c r="E101" s="5"/>
      <c r="F101" s="22"/>
      <c r="G101" s="5"/>
      <c r="H101" s="5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5"/>
      <c r="V101" s="5"/>
      <c r="W101" s="5"/>
      <c r="X101" s="5"/>
      <c r="Y101" s="5"/>
      <c r="Z101" s="5"/>
    </row>
    <row r="102" spans="1:26" ht="14.25" customHeight="1">
      <c r="A102" s="5"/>
      <c r="B102" s="22"/>
      <c r="C102" s="22"/>
      <c r="D102" s="5"/>
      <c r="E102" s="5"/>
      <c r="F102" s="22"/>
      <c r="G102" s="5"/>
      <c r="H102" s="5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5"/>
      <c r="V102" s="5"/>
      <c r="W102" s="5"/>
      <c r="X102" s="5"/>
      <c r="Y102" s="5"/>
      <c r="Z102" s="5"/>
    </row>
    <row r="103" spans="1:26" ht="14.25" customHeight="1">
      <c r="A103" s="5"/>
      <c r="B103" s="22"/>
      <c r="C103" s="22"/>
      <c r="D103" s="5"/>
      <c r="E103" s="5"/>
      <c r="F103" s="22"/>
      <c r="G103" s="5"/>
      <c r="H103" s="5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5"/>
      <c r="V103" s="5"/>
      <c r="W103" s="5"/>
      <c r="X103" s="5"/>
      <c r="Y103" s="5"/>
      <c r="Z103" s="5"/>
    </row>
    <row r="104" spans="1:26" ht="14.25" customHeight="1">
      <c r="A104" s="5"/>
      <c r="B104" s="22"/>
      <c r="C104" s="22"/>
      <c r="D104" s="5"/>
      <c r="E104" s="5"/>
      <c r="F104" s="22"/>
      <c r="G104" s="5"/>
      <c r="H104" s="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5"/>
      <c r="V104" s="5"/>
      <c r="W104" s="5"/>
      <c r="X104" s="5"/>
      <c r="Y104" s="5"/>
      <c r="Z104" s="5"/>
    </row>
    <row r="105" spans="1:26" ht="14.25" customHeight="1">
      <c r="A105" s="5"/>
      <c r="B105" s="22"/>
      <c r="C105" s="22"/>
      <c r="D105" s="5"/>
      <c r="E105" s="5"/>
      <c r="F105" s="22"/>
      <c r="G105" s="5"/>
      <c r="H105" s="5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5"/>
      <c r="V105" s="5"/>
      <c r="W105" s="5"/>
      <c r="X105" s="5"/>
      <c r="Y105" s="5"/>
      <c r="Z105" s="5"/>
    </row>
    <row r="106" spans="1:26" ht="14.25" customHeight="1">
      <c r="A106" s="5"/>
      <c r="B106" s="22"/>
      <c r="C106" s="22"/>
      <c r="D106" s="5"/>
      <c r="E106" s="5"/>
      <c r="F106" s="22"/>
      <c r="G106" s="5"/>
      <c r="H106" s="5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5"/>
      <c r="V106" s="5"/>
      <c r="W106" s="5"/>
      <c r="X106" s="5"/>
      <c r="Y106" s="5"/>
      <c r="Z106" s="5"/>
    </row>
    <row r="107" spans="1:26" ht="14.25" customHeight="1">
      <c r="A107" s="5"/>
      <c r="B107" s="22"/>
      <c r="C107" s="22"/>
      <c r="D107" s="5"/>
      <c r="E107" s="5"/>
      <c r="F107" s="22"/>
      <c r="G107" s="5"/>
      <c r="H107" s="5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5"/>
      <c r="V107" s="5"/>
      <c r="W107" s="5"/>
      <c r="X107" s="5"/>
      <c r="Y107" s="5"/>
      <c r="Z107" s="5"/>
    </row>
    <row r="108" spans="1:26" ht="14.25" customHeight="1">
      <c r="A108" s="5"/>
      <c r="B108" s="22"/>
      <c r="C108" s="22"/>
      <c r="D108" s="5"/>
      <c r="E108" s="5"/>
      <c r="F108" s="22"/>
      <c r="G108" s="5"/>
      <c r="H108" s="5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5"/>
      <c r="V108" s="5"/>
      <c r="W108" s="5"/>
      <c r="X108" s="5"/>
      <c r="Y108" s="5"/>
      <c r="Z108" s="5"/>
    </row>
    <row r="109" spans="1:26" ht="14.25" customHeight="1">
      <c r="A109" s="5"/>
      <c r="B109" s="22"/>
      <c r="C109" s="22"/>
      <c r="D109" s="5"/>
      <c r="E109" s="5"/>
      <c r="F109" s="22"/>
      <c r="G109" s="5"/>
      <c r="H109" s="5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5"/>
      <c r="V109" s="5"/>
      <c r="W109" s="5"/>
      <c r="X109" s="5"/>
      <c r="Y109" s="5"/>
      <c r="Z109" s="5"/>
    </row>
    <row r="110" spans="1:26" ht="14.25" customHeight="1">
      <c r="A110" s="5"/>
      <c r="B110" s="22"/>
      <c r="C110" s="22"/>
      <c r="D110" s="5"/>
      <c r="E110" s="5"/>
      <c r="F110" s="22"/>
      <c r="G110" s="5"/>
      <c r="H110" s="5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5"/>
      <c r="V110" s="5"/>
      <c r="W110" s="5"/>
      <c r="X110" s="5"/>
      <c r="Y110" s="5"/>
      <c r="Z110" s="5"/>
    </row>
    <row r="111" spans="1:26" ht="14.25" customHeight="1">
      <c r="A111" s="5"/>
      <c r="B111" s="22"/>
      <c r="C111" s="22"/>
      <c r="D111" s="5"/>
      <c r="E111" s="5"/>
      <c r="F111" s="22"/>
      <c r="G111" s="5"/>
      <c r="H111" s="5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5"/>
      <c r="V111" s="5"/>
      <c r="W111" s="5"/>
      <c r="X111" s="5"/>
      <c r="Y111" s="5"/>
      <c r="Z111" s="5"/>
    </row>
    <row r="112" spans="1:26" ht="14.25" customHeight="1">
      <c r="A112" s="5"/>
      <c r="B112" s="22"/>
      <c r="C112" s="22"/>
      <c r="D112" s="5"/>
      <c r="E112" s="5"/>
      <c r="F112" s="22"/>
      <c r="G112" s="5"/>
      <c r="H112" s="5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5"/>
      <c r="V112" s="5"/>
      <c r="W112" s="5"/>
      <c r="X112" s="5"/>
      <c r="Y112" s="5"/>
      <c r="Z112" s="5"/>
    </row>
    <row r="113" spans="1:26" ht="14.25" customHeight="1">
      <c r="A113" s="5"/>
      <c r="B113" s="22"/>
      <c r="C113" s="22"/>
      <c r="D113" s="5"/>
      <c r="E113" s="5"/>
      <c r="F113" s="22"/>
      <c r="G113" s="5"/>
      <c r="H113" s="5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5"/>
      <c r="V113" s="5"/>
      <c r="W113" s="5"/>
      <c r="X113" s="5"/>
      <c r="Y113" s="5"/>
      <c r="Z113" s="5"/>
    </row>
    <row r="114" spans="1:26" ht="14.25" customHeight="1">
      <c r="A114" s="5"/>
      <c r="B114" s="22"/>
      <c r="C114" s="22"/>
      <c r="D114" s="5"/>
      <c r="E114" s="5"/>
      <c r="F114" s="22"/>
      <c r="G114" s="5"/>
      <c r="H114" s="5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5"/>
      <c r="V114" s="5"/>
      <c r="W114" s="5"/>
      <c r="X114" s="5"/>
      <c r="Y114" s="5"/>
      <c r="Z114" s="5"/>
    </row>
    <row r="115" spans="1:26" ht="14.25" customHeight="1">
      <c r="A115" s="5"/>
      <c r="B115" s="22"/>
      <c r="C115" s="22"/>
      <c r="D115" s="5"/>
      <c r="E115" s="5"/>
      <c r="F115" s="22"/>
      <c r="G115" s="5"/>
      <c r="H115" s="5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5"/>
      <c r="V115" s="5"/>
      <c r="W115" s="5"/>
      <c r="X115" s="5"/>
      <c r="Y115" s="5"/>
      <c r="Z115" s="5"/>
    </row>
    <row r="116" spans="1:26" ht="14.25" customHeight="1">
      <c r="A116" s="5"/>
      <c r="B116" s="22"/>
      <c r="C116" s="22"/>
      <c r="D116" s="5"/>
      <c r="E116" s="5"/>
      <c r="F116" s="22"/>
      <c r="G116" s="5"/>
      <c r="H116" s="5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5"/>
      <c r="V116" s="5"/>
      <c r="W116" s="5"/>
      <c r="X116" s="5"/>
      <c r="Y116" s="5"/>
      <c r="Z116" s="5"/>
    </row>
    <row r="117" spans="1:26" ht="14.25" customHeight="1">
      <c r="A117" s="5"/>
      <c r="B117" s="22"/>
      <c r="C117" s="22"/>
      <c r="D117" s="5"/>
      <c r="E117" s="5"/>
      <c r="F117" s="22"/>
      <c r="G117" s="5"/>
      <c r="H117" s="5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5"/>
      <c r="V117" s="5"/>
      <c r="W117" s="5"/>
      <c r="X117" s="5"/>
      <c r="Y117" s="5"/>
      <c r="Z117" s="5"/>
    </row>
    <row r="118" spans="1:26" ht="14.25" customHeight="1">
      <c r="A118" s="5"/>
      <c r="B118" s="22"/>
      <c r="C118" s="22"/>
      <c r="D118" s="5"/>
      <c r="E118" s="5"/>
      <c r="F118" s="22"/>
      <c r="G118" s="5"/>
      <c r="H118" s="5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5"/>
      <c r="V118" s="5"/>
      <c r="W118" s="5"/>
      <c r="X118" s="5"/>
      <c r="Y118" s="5"/>
      <c r="Z118" s="5"/>
    </row>
    <row r="119" spans="1:26" ht="14.25" customHeight="1">
      <c r="A119" s="5"/>
      <c r="B119" s="22"/>
      <c r="C119" s="22"/>
      <c r="D119" s="5"/>
      <c r="E119" s="5"/>
      <c r="F119" s="22"/>
      <c r="G119" s="5"/>
      <c r="H119" s="5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5"/>
      <c r="V119" s="5"/>
      <c r="W119" s="5"/>
      <c r="X119" s="5"/>
      <c r="Y119" s="5"/>
      <c r="Z119" s="5"/>
    </row>
    <row r="120" spans="1:26" ht="14.25" customHeight="1">
      <c r="A120" s="5"/>
      <c r="B120" s="22"/>
      <c r="C120" s="22"/>
      <c r="D120" s="5"/>
      <c r="E120" s="5"/>
      <c r="F120" s="22"/>
      <c r="G120" s="5"/>
      <c r="H120" s="5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5"/>
      <c r="V120" s="5"/>
      <c r="W120" s="5"/>
      <c r="X120" s="5"/>
      <c r="Y120" s="5"/>
      <c r="Z120" s="5"/>
    </row>
    <row r="121" spans="1:26" ht="14.25" customHeight="1">
      <c r="A121" s="5"/>
      <c r="B121" s="22"/>
      <c r="C121" s="22"/>
      <c r="D121" s="5"/>
      <c r="E121" s="5"/>
      <c r="F121" s="22"/>
      <c r="G121" s="5"/>
      <c r="H121" s="5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5"/>
      <c r="V121" s="5"/>
      <c r="W121" s="5"/>
      <c r="X121" s="5"/>
      <c r="Y121" s="5"/>
      <c r="Z121" s="5"/>
    </row>
    <row r="122" spans="1:26" ht="14.25" customHeight="1">
      <c r="A122" s="5"/>
      <c r="B122" s="22"/>
      <c r="C122" s="22"/>
      <c r="D122" s="5"/>
      <c r="E122" s="5"/>
      <c r="F122" s="22"/>
      <c r="G122" s="5"/>
      <c r="H122" s="5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5"/>
      <c r="V122" s="5"/>
      <c r="W122" s="5"/>
      <c r="X122" s="5"/>
      <c r="Y122" s="5"/>
      <c r="Z122" s="5"/>
    </row>
    <row r="123" spans="1:26" ht="14.25" customHeight="1">
      <c r="A123" s="5"/>
      <c r="B123" s="22"/>
      <c r="C123" s="22"/>
      <c r="D123" s="5"/>
      <c r="E123" s="5"/>
      <c r="F123" s="22"/>
      <c r="G123" s="5"/>
      <c r="H123" s="5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5"/>
      <c r="V123" s="5"/>
      <c r="W123" s="5"/>
      <c r="X123" s="5"/>
      <c r="Y123" s="5"/>
      <c r="Z123" s="5"/>
    </row>
    <row r="124" spans="1:26" ht="14.25" customHeight="1">
      <c r="A124" s="5"/>
      <c r="B124" s="22"/>
      <c r="C124" s="22"/>
      <c r="D124" s="5"/>
      <c r="E124" s="5"/>
      <c r="F124" s="22"/>
      <c r="G124" s="5"/>
      <c r="H124" s="5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5"/>
      <c r="V124" s="5"/>
      <c r="W124" s="5"/>
      <c r="X124" s="5"/>
      <c r="Y124" s="5"/>
      <c r="Z124" s="5"/>
    </row>
    <row r="125" spans="1:26" ht="14.25" customHeight="1">
      <c r="A125" s="5"/>
      <c r="B125" s="22"/>
      <c r="C125" s="22"/>
      <c r="D125" s="5"/>
      <c r="E125" s="5"/>
      <c r="F125" s="22"/>
      <c r="G125" s="5"/>
      <c r="H125" s="5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5"/>
      <c r="V125" s="5"/>
      <c r="W125" s="5"/>
      <c r="X125" s="5"/>
      <c r="Y125" s="5"/>
      <c r="Z125" s="5"/>
    </row>
    <row r="126" spans="1:26" ht="14.25" customHeight="1">
      <c r="A126" s="5"/>
      <c r="B126" s="22"/>
      <c r="C126" s="22"/>
      <c r="D126" s="5"/>
      <c r="E126" s="5"/>
      <c r="F126" s="22"/>
      <c r="G126" s="5"/>
      <c r="H126" s="5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5"/>
      <c r="V126" s="5"/>
      <c r="W126" s="5"/>
      <c r="X126" s="5"/>
      <c r="Y126" s="5"/>
      <c r="Z126" s="5"/>
    </row>
    <row r="127" spans="1:26" ht="14.25" customHeight="1">
      <c r="A127" s="5"/>
      <c r="B127" s="22"/>
      <c r="C127" s="22"/>
      <c r="D127" s="5"/>
      <c r="E127" s="5"/>
      <c r="F127" s="22"/>
      <c r="G127" s="5"/>
      <c r="H127" s="5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5"/>
      <c r="V127" s="5"/>
      <c r="W127" s="5"/>
      <c r="X127" s="5"/>
      <c r="Y127" s="5"/>
      <c r="Z127" s="5"/>
    </row>
    <row r="128" spans="1:26" ht="14.25" customHeight="1">
      <c r="A128" s="5"/>
      <c r="B128" s="22"/>
      <c r="C128" s="22"/>
      <c r="D128" s="5"/>
      <c r="E128" s="5"/>
      <c r="F128" s="22"/>
      <c r="G128" s="5"/>
      <c r="H128" s="5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5"/>
      <c r="V128" s="5"/>
      <c r="W128" s="5"/>
      <c r="X128" s="5"/>
      <c r="Y128" s="5"/>
      <c r="Z128" s="5"/>
    </row>
    <row r="129" spans="1:26" ht="14.25" customHeight="1">
      <c r="A129" s="5"/>
      <c r="B129" s="22"/>
      <c r="C129" s="22"/>
      <c r="D129" s="5"/>
      <c r="E129" s="5"/>
      <c r="F129" s="22"/>
      <c r="G129" s="5"/>
      <c r="H129" s="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5"/>
      <c r="V129" s="5"/>
      <c r="W129" s="5"/>
      <c r="X129" s="5"/>
      <c r="Y129" s="5"/>
      <c r="Z129" s="5"/>
    </row>
    <row r="130" spans="1:26" ht="14.25" customHeight="1">
      <c r="A130" s="5"/>
      <c r="B130" s="22"/>
      <c r="C130" s="22"/>
      <c r="D130" s="5"/>
      <c r="E130" s="5"/>
      <c r="F130" s="22"/>
      <c r="G130" s="5"/>
      <c r="H130" s="5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5"/>
      <c r="V130" s="5"/>
      <c r="W130" s="5"/>
      <c r="X130" s="5"/>
      <c r="Y130" s="5"/>
      <c r="Z130" s="5"/>
    </row>
    <row r="131" spans="1:26" ht="14.25" customHeight="1">
      <c r="A131" s="5"/>
      <c r="B131" s="22"/>
      <c r="C131" s="22"/>
      <c r="D131" s="5"/>
      <c r="E131" s="5"/>
      <c r="F131" s="22"/>
      <c r="G131" s="5"/>
      <c r="H131" s="5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5"/>
      <c r="V131" s="5"/>
      <c r="W131" s="5"/>
      <c r="X131" s="5"/>
      <c r="Y131" s="5"/>
      <c r="Z131" s="5"/>
    </row>
    <row r="132" spans="1:26" ht="14.25" customHeight="1">
      <c r="A132" s="5"/>
      <c r="B132" s="22"/>
      <c r="C132" s="22"/>
      <c r="D132" s="5"/>
      <c r="E132" s="5"/>
      <c r="F132" s="22"/>
      <c r="G132" s="5"/>
      <c r="H132" s="5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5"/>
      <c r="V132" s="5"/>
      <c r="W132" s="5"/>
      <c r="X132" s="5"/>
      <c r="Y132" s="5"/>
      <c r="Z132" s="5"/>
    </row>
    <row r="133" spans="1:26" ht="14.25" customHeight="1">
      <c r="A133" s="5"/>
      <c r="B133" s="22"/>
      <c r="C133" s="22"/>
      <c r="D133" s="5"/>
      <c r="E133" s="5"/>
      <c r="F133" s="22"/>
      <c r="G133" s="5"/>
      <c r="H133" s="5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5"/>
      <c r="V133" s="5"/>
      <c r="W133" s="5"/>
      <c r="X133" s="5"/>
      <c r="Y133" s="5"/>
      <c r="Z133" s="5"/>
    </row>
    <row r="134" spans="1:26" ht="14.25" customHeight="1">
      <c r="A134" s="5"/>
      <c r="B134" s="22"/>
      <c r="C134" s="22"/>
      <c r="D134" s="5"/>
      <c r="E134" s="5"/>
      <c r="F134" s="22"/>
      <c r="G134" s="5"/>
      <c r="H134" s="5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5"/>
      <c r="V134" s="5"/>
      <c r="W134" s="5"/>
      <c r="X134" s="5"/>
      <c r="Y134" s="5"/>
      <c r="Z134" s="5"/>
    </row>
    <row r="135" spans="1:26" ht="14.25" customHeight="1">
      <c r="A135" s="5"/>
      <c r="B135" s="22"/>
      <c r="C135" s="22"/>
      <c r="D135" s="5"/>
      <c r="E135" s="5"/>
      <c r="F135" s="22"/>
      <c r="G135" s="5"/>
      <c r="H135" s="5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5"/>
      <c r="V135" s="5"/>
      <c r="W135" s="5"/>
      <c r="X135" s="5"/>
      <c r="Y135" s="5"/>
      <c r="Z135" s="5"/>
    </row>
    <row r="136" spans="1:26" ht="14.25" customHeight="1">
      <c r="A136" s="5"/>
      <c r="B136" s="22"/>
      <c r="C136" s="22"/>
      <c r="D136" s="5"/>
      <c r="E136" s="5"/>
      <c r="F136" s="22"/>
      <c r="G136" s="5"/>
      <c r="H136" s="5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5"/>
      <c r="V136" s="5"/>
      <c r="W136" s="5"/>
      <c r="X136" s="5"/>
      <c r="Y136" s="5"/>
      <c r="Z136" s="5"/>
    </row>
    <row r="137" spans="1:26" ht="14.25" customHeight="1">
      <c r="A137" s="5"/>
      <c r="B137" s="22"/>
      <c r="C137" s="22"/>
      <c r="D137" s="5"/>
      <c r="E137" s="5"/>
      <c r="F137" s="22"/>
      <c r="G137" s="5"/>
      <c r="H137" s="5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5"/>
      <c r="V137" s="5"/>
      <c r="W137" s="5"/>
      <c r="X137" s="5"/>
      <c r="Y137" s="5"/>
      <c r="Z137" s="5"/>
    </row>
    <row r="138" spans="1:26" ht="14.25" customHeight="1">
      <c r="A138" s="5"/>
      <c r="B138" s="22"/>
      <c r="C138" s="22"/>
      <c r="D138" s="5"/>
      <c r="E138" s="5"/>
      <c r="F138" s="22"/>
      <c r="G138" s="5"/>
      <c r="H138" s="5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5"/>
      <c r="V138" s="5"/>
      <c r="W138" s="5"/>
      <c r="X138" s="5"/>
      <c r="Y138" s="5"/>
      <c r="Z138" s="5"/>
    </row>
    <row r="139" spans="1:26" ht="14.25" customHeight="1">
      <c r="A139" s="5"/>
      <c r="B139" s="22"/>
      <c r="C139" s="22"/>
      <c r="D139" s="5"/>
      <c r="E139" s="5"/>
      <c r="F139" s="22"/>
      <c r="G139" s="5"/>
      <c r="H139" s="5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5"/>
      <c r="V139" s="5"/>
      <c r="W139" s="5"/>
      <c r="X139" s="5"/>
      <c r="Y139" s="5"/>
      <c r="Z139" s="5"/>
    </row>
    <row r="140" spans="1:26" ht="14.25" customHeight="1">
      <c r="A140" s="5"/>
      <c r="B140" s="22"/>
      <c r="C140" s="22"/>
      <c r="D140" s="5"/>
      <c r="E140" s="5"/>
      <c r="F140" s="22"/>
      <c r="G140" s="5"/>
      <c r="H140" s="5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5"/>
      <c r="V140" s="5"/>
      <c r="W140" s="5"/>
      <c r="X140" s="5"/>
      <c r="Y140" s="5"/>
      <c r="Z140" s="5"/>
    </row>
    <row r="141" spans="1:26" ht="14.25" customHeight="1">
      <c r="A141" s="5"/>
      <c r="B141" s="22"/>
      <c r="C141" s="22"/>
      <c r="D141" s="5"/>
      <c r="E141" s="5"/>
      <c r="F141" s="22"/>
      <c r="G141" s="5"/>
      <c r="H141" s="5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5"/>
      <c r="V141" s="5"/>
      <c r="W141" s="5"/>
      <c r="X141" s="5"/>
      <c r="Y141" s="5"/>
      <c r="Z141" s="5"/>
    </row>
    <row r="142" spans="1:26" ht="14.25" customHeight="1">
      <c r="A142" s="5"/>
      <c r="B142" s="22"/>
      <c r="C142" s="22"/>
      <c r="D142" s="5"/>
      <c r="E142" s="5"/>
      <c r="F142" s="22"/>
      <c r="G142" s="5"/>
      <c r="H142" s="5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5"/>
      <c r="V142" s="5"/>
      <c r="W142" s="5"/>
      <c r="X142" s="5"/>
      <c r="Y142" s="5"/>
      <c r="Z142" s="5"/>
    </row>
    <row r="143" spans="1:26" ht="14.25" customHeight="1">
      <c r="A143" s="5"/>
      <c r="B143" s="22"/>
      <c r="C143" s="22"/>
      <c r="D143" s="5"/>
      <c r="E143" s="5"/>
      <c r="F143" s="22"/>
      <c r="G143" s="5"/>
      <c r="H143" s="5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5"/>
      <c r="V143" s="5"/>
      <c r="W143" s="5"/>
      <c r="X143" s="5"/>
      <c r="Y143" s="5"/>
      <c r="Z143" s="5"/>
    </row>
    <row r="144" spans="1:26" ht="14.25" customHeight="1">
      <c r="A144" s="5"/>
      <c r="B144" s="22"/>
      <c r="C144" s="22"/>
      <c r="D144" s="5"/>
      <c r="E144" s="5"/>
      <c r="F144" s="22"/>
      <c r="G144" s="5"/>
      <c r="H144" s="5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5"/>
      <c r="V144" s="5"/>
      <c r="W144" s="5"/>
      <c r="X144" s="5"/>
      <c r="Y144" s="5"/>
      <c r="Z144" s="5"/>
    </row>
    <row r="145" spans="1:26" ht="14.25" customHeight="1">
      <c r="A145" s="5"/>
      <c r="B145" s="22"/>
      <c r="C145" s="22"/>
      <c r="D145" s="5"/>
      <c r="E145" s="5"/>
      <c r="F145" s="22"/>
      <c r="G145" s="5"/>
      <c r="H145" s="5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5"/>
      <c r="V145" s="5"/>
      <c r="W145" s="5"/>
      <c r="X145" s="5"/>
      <c r="Y145" s="5"/>
      <c r="Z145" s="5"/>
    </row>
    <row r="146" spans="1:26" ht="14.25" customHeight="1">
      <c r="A146" s="5"/>
      <c r="B146" s="22"/>
      <c r="C146" s="22"/>
      <c r="D146" s="5"/>
      <c r="E146" s="5"/>
      <c r="F146" s="22"/>
      <c r="G146" s="5"/>
      <c r="H146" s="5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5"/>
      <c r="V146" s="5"/>
      <c r="W146" s="5"/>
      <c r="X146" s="5"/>
      <c r="Y146" s="5"/>
      <c r="Z146" s="5"/>
    </row>
    <row r="147" spans="1:26" ht="14.25" customHeight="1">
      <c r="A147" s="5"/>
      <c r="B147" s="22"/>
      <c r="C147" s="22"/>
      <c r="D147" s="5"/>
      <c r="E147" s="5"/>
      <c r="F147" s="22"/>
      <c r="G147" s="5"/>
      <c r="H147" s="5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5"/>
      <c r="V147" s="5"/>
      <c r="W147" s="5"/>
      <c r="X147" s="5"/>
      <c r="Y147" s="5"/>
      <c r="Z147" s="5"/>
    </row>
    <row r="148" spans="1:26" ht="14.25" customHeight="1">
      <c r="A148" s="5"/>
      <c r="B148" s="22"/>
      <c r="C148" s="22"/>
      <c r="D148" s="5"/>
      <c r="E148" s="5"/>
      <c r="F148" s="22"/>
      <c r="G148" s="5"/>
      <c r="H148" s="5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5"/>
      <c r="V148" s="5"/>
      <c r="W148" s="5"/>
      <c r="X148" s="5"/>
      <c r="Y148" s="5"/>
      <c r="Z148" s="5"/>
    </row>
    <row r="149" spans="1:26" ht="14.25" customHeight="1">
      <c r="A149" s="5"/>
      <c r="B149" s="22"/>
      <c r="C149" s="22"/>
      <c r="D149" s="5"/>
      <c r="E149" s="5"/>
      <c r="F149" s="22"/>
      <c r="G149" s="5"/>
      <c r="H149" s="5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5"/>
      <c r="V149" s="5"/>
      <c r="W149" s="5"/>
      <c r="X149" s="5"/>
      <c r="Y149" s="5"/>
      <c r="Z149" s="5"/>
    </row>
    <row r="150" spans="1:26" ht="14.25" customHeight="1">
      <c r="A150" s="5"/>
      <c r="B150" s="22"/>
      <c r="C150" s="22"/>
      <c r="D150" s="5"/>
      <c r="E150" s="5"/>
      <c r="F150" s="22"/>
      <c r="G150" s="5"/>
      <c r="H150" s="5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5"/>
      <c r="V150" s="5"/>
      <c r="W150" s="5"/>
      <c r="X150" s="5"/>
      <c r="Y150" s="5"/>
      <c r="Z150" s="5"/>
    </row>
    <row r="151" spans="1:26" ht="14.25" customHeight="1">
      <c r="A151" s="5"/>
      <c r="B151" s="22"/>
      <c r="C151" s="22"/>
      <c r="D151" s="5"/>
      <c r="E151" s="5"/>
      <c r="F151" s="22"/>
      <c r="G151" s="5"/>
      <c r="H151" s="5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5"/>
      <c r="V151" s="5"/>
      <c r="W151" s="5"/>
      <c r="X151" s="5"/>
      <c r="Y151" s="5"/>
      <c r="Z151" s="5"/>
    </row>
    <row r="152" spans="1:26" ht="14.25" customHeight="1">
      <c r="A152" s="5"/>
      <c r="B152" s="22"/>
      <c r="C152" s="22"/>
      <c r="D152" s="5"/>
      <c r="E152" s="5"/>
      <c r="F152" s="22"/>
      <c r="G152" s="5"/>
      <c r="H152" s="5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5"/>
      <c r="V152" s="5"/>
      <c r="W152" s="5"/>
      <c r="X152" s="5"/>
      <c r="Y152" s="5"/>
      <c r="Z152" s="5"/>
    </row>
    <row r="153" spans="1:26" ht="14.25" customHeight="1">
      <c r="A153" s="5"/>
      <c r="B153" s="22"/>
      <c r="C153" s="22"/>
      <c r="D153" s="5"/>
      <c r="E153" s="5"/>
      <c r="F153" s="22"/>
      <c r="G153" s="5"/>
      <c r="H153" s="5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5"/>
      <c r="V153" s="5"/>
      <c r="W153" s="5"/>
      <c r="X153" s="5"/>
      <c r="Y153" s="5"/>
      <c r="Z153" s="5"/>
    </row>
    <row r="154" spans="1:26" ht="14.25" customHeight="1">
      <c r="A154" s="5"/>
      <c r="B154" s="22"/>
      <c r="C154" s="22"/>
      <c r="D154" s="5"/>
      <c r="E154" s="5"/>
      <c r="F154" s="22"/>
      <c r="G154" s="5"/>
      <c r="H154" s="5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5"/>
      <c r="V154" s="5"/>
      <c r="W154" s="5"/>
      <c r="X154" s="5"/>
      <c r="Y154" s="5"/>
      <c r="Z154" s="5"/>
    </row>
    <row r="155" spans="1:26" ht="14.25" customHeight="1">
      <c r="A155" s="5"/>
      <c r="B155" s="22"/>
      <c r="C155" s="22"/>
      <c r="D155" s="5"/>
      <c r="E155" s="5"/>
      <c r="F155" s="22"/>
      <c r="G155" s="5"/>
      <c r="H155" s="5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5"/>
      <c r="V155" s="5"/>
      <c r="W155" s="5"/>
      <c r="X155" s="5"/>
      <c r="Y155" s="5"/>
      <c r="Z155" s="5"/>
    </row>
    <row r="156" spans="1:26" ht="14.25" customHeight="1">
      <c r="A156" s="5"/>
      <c r="B156" s="22"/>
      <c r="C156" s="22"/>
      <c r="D156" s="5"/>
      <c r="E156" s="5"/>
      <c r="F156" s="22"/>
      <c r="G156" s="5"/>
      <c r="H156" s="5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5"/>
      <c r="V156" s="5"/>
      <c r="W156" s="5"/>
      <c r="X156" s="5"/>
      <c r="Y156" s="5"/>
      <c r="Z156" s="5"/>
    </row>
    <row r="157" spans="1:26" ht="14.25" customHeight="1">
      <c r="A157" s="5"/>
      <c r="B157" s="22"/>
      <c r="C157" s="22"/>
      <c r="D157" s="5"/>
      <c r="E157" s="5"/>
      <c r="F157" s="22"/>
      <c r="G157" s="5"/>
      <c r="H157" s="5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5"/>
      <c r="V157" s="5"/>
      <c r="W157" s="5"/>
      <c r="X157" s="5"/>
      <c r="Y157" s="5"/>
      <c r="Z157" s="5"/>
    </row>
    <row r="158" spans="1:26" ht="14.25" customHeight="1">
      <c r="A158" s="5"/>
      <c r="B158" s="22"/>
      <c r="C158" s="22"/>
      <c r="D158" s="5"/>
      <c r="E158" s="5"/>
      <c r="F158" s="22"/>
      <c r="G158" s="5"/>
      <c r="H158" s="5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5"/>
      <c r="V158" s="5"/>
      <c r="W158" s="5"/>
      <c r="X158" s="5"/>
      <c r="Y158" s="5"/>
      <c r="Z158" s="5"/>
    </row>
    <row r="159" spans="1:26" ht="14.25" customHeight="1">
      <c r="A159" s="5"/>
      <c r="B159" s="22"/>
      <c r="C159" s="22"/>
      <c r="D159" s="5"/>
      <c r="E159" s="5"/>
      <c r="F159" s="22"/>
      <c r="G159" s="5"/>
      <c r="H159" s="5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5"/>
      <c r="V159" s="5"/>
      <c r="W159" s="5"/>
      <c r="X159" s="5"/>
      <c r="Y159" s="5"/>
      <c r="Z159" s="5"/>
    </row>
    <row r="160" spans="1:26" ht="14.25" customHeight="1">
      <c r="A160" s="5"/>
      <c r="B160" s="22"/>
      <c r="C160" s="22"/>
      <c r="D160" s="5"/>
      <c r="E160" s="5"/>
      <c r="F160" s="22"/>
      <c r="G160" s="5"/>
      <c r="H160" s="5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5"/>
      <c r="V160" s="5"/>
      <c r="W160" s="5"/>
      <c r="X160" s="5"/>
      <c r="Y160" s="5"/>
      <c r="Z160" s="5"/>
    </row>
    <row r="161" spans="1:26" ht="14.25" customHeight="1">
      <c r="A161" s="5"/>
      <c r="B161" s="22"/>
      <c r="C161" s="22"/>
      <c r="D161" s="5"/>
      <c r="E161" s="5"/>
      <c r="F161" s="22"/>
      <c r="G161" s="5"/>
      <c r="H161" s="5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5"/>
      <c r="V161" s="5"/>
      <c r="W161" s="5"/>
      <c r="X161" s="5"/>
      <c r="Y161" s="5"/>
      <c r="Z161" s="5"/>
    </row>
    <row r="162" spans="1:26" ht="14.25" customHeight="1">
      <c r="A162" s="5"/>
      <c r="B162" s="22"/>
      <c r="C162" s="22"/>
      <c r="D162" s="5"/>
      <c r="E162" s="5"/>
      <c r="F162" s="22"/>
      <c r="G162" s="5"/>
      <c r="H162" s="5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5"/>
      <c r="V162" s="5"/>
      <c r="W162" s="5"/>
      <c r="X162" s="5"/>
      <c r="Y162" s="5"/>
      <c r="Z162" s="5"/>
    </row>
    <row r="163" spans="1:26" ht="14.25" customHeight="1">
      <c r="A163" s="5"/>
      <c r="B163" s="22"/>
      <c r="C163" s="22"/>
      <c r="D163" s="5"/>
      <c r="E163" s="5"/>
      <c r="F163" s="22"/>
      <c r="G163" s="5"/>
      <c r="H163" s="5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5"/>
      <c r="V163" s="5"/>
      <c r="W163" s="5"/>
      <c r="X163" s="5"/>
      <c r="Y163" s="5"/>
      <c r="Z163" s="5"/>
    </row>
    <row r="164" spans="1:26" ht="14.25" customHeight="1">
      <c r="A164" s="5"/>
      <c r="B164" s="22"/>
      <c r="C164" s="22"/>
      <c r="D164" s="5"/>
      <c r="E164" s="5"/>
      <c r="F164" s="22"/>
      <c r="G164" s="5"/>
      <c r="H164" s="5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5"/>
      <c r="V164" s="5"/>
      <c r="W164" s="5"/>
      <c r="X164" s="5"/>
      <c r="Y164" s="5"/>
      <c r="Z164" s="5"/>
    </row>
    <row r="165" spans="1:26" ht="14.25" customHeight="1">
      <c r="A165" s="5"/>
      <c r="B165" s="22"/>
      <c r="C165" s="22"/>
      <c r="D165" s="5"/>
      <c r="E165" s="5"/>
      <c r="F165" s="22"/>
      <c r="G165" s="5"/>
      <c r="H165" s="5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5"/>
      <c r="V165" s="5"/>
      <c r="W165" s="5"/>
      <c r="X165" s="5"/>
      <c r="Y165" s="5"/>
      <c r="Z165" s="5"/>
    </row>
    <row r="166" spans="1:26" ht="14.25" customHeight="1">
      <c r="A166" s="5"/>
      <c r="B166" s="22"/>
      <c r="C166" s="22"/>
      <c r="D166" s="5"/>
      <c r="E166" s="5"/>
      <c r="F166" s="22"/>
      <c r="G166" s="5"/>
      <c r="H166" s="5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5"/>
      <c r="V166" s="5"/>
      <c r="W166" s="5"/>
      <c r="X166" s="5"/>
      <c r="Y166" s="5"/>
      <c r="Z166" s="5"/>
    </row>
    <row r="167" spans="1:26" ht="14.25" customHeight="1">
      <c r="A167" s="5"/>
      <c r="B167" s="22"/>
      <c r="C167" s="22"/>
      <c r="D167" s="5"/>
      <c r="E167" s="5"/>
      <c r="F167" s="22"/>
      <c r="G167" s="5"/>
      <c r="H167" s="5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5"/>
      <c r="V167" s="5"/>
      <c r="W167" s="5"/>
      <c r="X167" s="5"/>
      <c r="Y167" s="5"/>
      <c r="Z167" s="5"/>
    </row>
    <row r="168" spans="1:26" ht="14.25" customHeight="1">
      <c r="A168" s="5"/>
      <c r="B168" s="22"/>
      <c r="C168" s="22"/>
      <c r="D168" s="5"/>
      <c r="E168" s="5"/>
      <c r="F168" s="22"/>
      <c r="G168" s="5"/>
      <c r="H168" s="5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5"/>
      <c r="V168" s="5"/>
      <c r="W168" s="5"/>
      <c r="X168" s="5"/>
      <c r="Y168" s="5"/>
      <c r="Z168" s="5"/>
    </row>
    <row r="169" spans="1:26" ht="14.25" customHeight="1">
      <c r="A169" s="5"/>
      <c r="B169" s="22"/>
      <c r="C169" s="22"/>
      <c r="D169" s="5"/>
      <c r="E169" s="5"/>
      <c r="F169" s="22"/>
      <c r="G169" s="5"/>
      <c r="H169" s="5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5"/>
      <c r="V169" s="5"/>
      <c r="W169" s="5"/>
      <c r="X169" s="5"/>
      <c r="Y169" s="5"/>
      <c r="Z169" s="5"/>
    </row>
    <row r="170" spans="1:26" ht="14.25" customHeight="1">
      <c r="A170" s="5"/>
      <c r="B170" s="22"/>
      <c r="C170" s="22"/>
      <c r="D170" s="5"/>
      <c r="E170" s="5"/>
      <c r="F170" s="22"/>
      <c r="G170" s="5"/>
      <c r="H170" s="5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5"/>
      <c r="V170" s="5"/>
      <c r="W170" s="5"/>
      <c r="X170" s="5"/>
      <c r="Y170" s="5"/>
      <c r="Z170" s="5"/>
    </row>
    <row r="171" spans="1:26" ht="14.25" customHeight="1">
      <c r="A171" s="5"/>
      <c r="B171" s="22"/>
      <c r="C171" s="22"/>
      <c r="D171" s="5"/>
      <c r="E171" s="5"/>
      <c r="F171" s="22"/>
      <c r="G171" s="5"/>
      <c r="H171" s="5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5"/>
      <c r="V171" s="5"/>
      <c r="W171" s="5"/>
      <c r="X171" s="5"/>
      <c r="Y171" s="5"/>
      <c r="Z171" s="5"/>
    </row>
    <row r="172" spans="1:26" ht="14.25" customHeight="1">
      <c r="A172" s="5"/>
      <c r="B172" s="22"/>
      <c r="C172" s="22"/>
      <c r="D172" s="5"/>
      <c r="E172" s="5"/>
      <c r="F172" s="22"/>
      <c r="G172" s="5"/>
      <c r="H172" s="5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5"/>
      <c r="V172" s="5"/>
      <c r="W172" s="5"/>
      <c r="X172" s="5"/>
      <c r="Y172" s="5"/>
      <c r="Z172" s="5"/>
    </row>
    <row r="173" spans="1:26" ht="14.25" customHeight="1">
      <c r="A173" s="5"/>
      <c r="B173" s="22"/>
      <c r="C173" s="22"/>
      <c r="D173" s="5"/>
      <c r="E173" s="5"/>
      <c r="F173" s="22"/>
      <c r="G173" s="5"/>
      <c r="H173" s="5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5"/>
      <c r="V173" s="5"/>
      <c r="W173" s="5"/>
      <c r="X173" s="5"/>
      <c r="Y173" s="5"/>
      <c r="Z173" s="5"/>
    </row>
    <row r="174" spans="1:26" ht="14.25" customHeight="1">
      <c r="A174" s="5"/>
      <c r="B174" s="22"/>
      <c r="C174" s="22"/>
      <c r="D174" s="5"/>
      <c r="E174" s="5"/>
      <c r="F174" s="22"/>
      <c r="G174" s="5"/>
      <c r="H174" s="5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5"/>
      <c r="V174" s="5"/>
      <c r="W174" s="5"/>
      <c r="X174" s="5"/>
      <c r="Y174" s="5"/>
      <c r="Z174" s="5"/>
    </row>
    <row r="175" spans="1:26" ht="14.25" customHeight="1">
      <c r="A175" s="5"/>
      <c r="B175" s="22"/>
      <c r="C175" s="22"/>
      <c r="D175" s="5"/>
      <c r="E175" s="5"/>
      <c r="F175" s="22"/>
      <c r="G175" s="5"/>
      <c r="H175" s="5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5"/>
      <c r="V175" s="5"/>
      <c r="W175" s="5"/>
      <c r="X175" s="5"/>
      <c r="Y175" s="5"/>
      <c r="Z175" s="5"/>
    </row>
    <row r="176" spans="1:26" ht="14.25" customHeight="1">
      <c r="A176" s="5"/>
      <c r="B176" s="22"/>
      <c r="C176" s="22"/>
      <c r="D176" s="5"/>
      <c r="E176" s="5"/>
      <c r="F176" s="22"/>
      <c r="G176" s="5"/>
      <c r="H176" s="5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5"/>
      <c r="V176" s="5"/>
      <c r="W176" s="5"/>
      <c r="X176" s="5"/>
      <c r="Y176" s="5"/>
      <c r="Z176" s="5"/>
    </row>
    <row r="177" spans="1:26" ht="14.25" customHeight="1">
      <c r="A177" s="5"/>
      <c r="B177" s="22"/>
      <c r="C177" s="22"/>
      <c r="D177" s="5"/>
      <c r="E177" s="5"/>
      <c r="F177" s="22"/>
      <c r="G177" s="5"/>
      <c r="H177" s="5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5"/>
      <c r="V177" s="5"/>
      <c r="W177" s="5"/>
      <c r="X177" s="5"/>
      <c r="Y177" s="5"/>
      <c r="Z177" s="5"/>
    </row>
    <row r="178" spans="1:26" ht="14.25" customHeight="1">
      <c r="A178" s="5"/>
      <c r="B178" s="22"/>
      <c r="C178" s="22"/>
      <c r="D178" s="5"/>
      <c r="E178" s="5"/>
      <c r="F178" s="22"/>
      <c r="G178" s="5"/>
      <c r="H178" s="5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5"/>
      <c r="V178" s="5"/>
      <c r="W178" s="5"/>
      <c r="X178" s="5"/>
      <c r="Y178" s="5"/>
      <c r="Z178" s="5"/>
    </row>
    <row r="179" spans="1:26" ht="14.25" customHeight="1">
      <c r="A179" s="5"/>
      <c r="B179" s="22"/>
      <c r="C179" s="22"/>
      <c r="D179" s="5"/>
      <c r="E179" s="5"/>
      <c r="F179" s="22"/>
      <c r="G179" s="5"/>
      <c r="H179" s="5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5"/>
      <c r="V179" s="5"/>
      <c r="W179" s="5"/>
      <c r="X179" s="5"/>
      <c r="Y179" s="5"/>
      <c r="Z179" s="5"/>
    </row>
    <row r="180" spans="1:26" ht="14.25" customHeight="1">
      <c r="A180" s="5"/>
      <c r="B180" s="22"/>
      <c r="C180" s="22"/>
      <c r="D180" s="5"/>
      <c r="E180" s="5"/>
      <c r="F180" s="22"/>
      <c r="G180" s="5"/>
      <c r="H180" s="5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5"/>
      <c r="V180" s="5"/>
      <c r="W180" s="5"/>
      <c r="X180" s="5"/>
      <c r="Y180" s="5"/>
      <c r="Z180" s="5"/>
    </row>
    <row r="181" spans="1:26" ht="14.25" customHeight="1">
      <c r="A181" s="5"/>
      <c r="B181" s="22"/>
      <c r="C181" s="22"/>
      <c r="D181" s="5"/>
      <c r="E181" s="5"/>
      <c r="F181" s="22"/>
      <c r="G181" s="5"/>
      <c r="H181" s="5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5"/>
      <c r="V181" s="5"/>
      <c r="W181" s="5"/>
      <c r="X181" s="5"/>
      <c r="Y181" s="5"/>
      <c r="Z181" s="5"/>
    </row>
    <row r="182" spans="1:26" ht="14.25" customHeight="1">
      <c r="A182" s="5"/>
      <c r="B182" s="22"/>
      <c r="C182" s="22"/>
      <c r="D182" s="5"/>
      <c r="E182" s="5"/>
      <c r="F182" s="22"/>
      <c r="G182" s="5"/>
      <c r="H182" s="5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5"/>
      <c r="V182" s="5"/>
      <c r="W182" s="5"/>
      <c r="X182" s="5"/>
      <c r="Y182" s="5"/>
      <c r="Z182" s="5"/>
    </row>
    <row r="183" spans="1:26" ht="14.25" customHeight="1">
      <c r="A183" s="5"/>
      <c r="B183" s="22"/>
      <c r="C183" s="22"/>
      <c r="D183" s="5"/>
      <c r="E183" s="5"/>
      <c r="F183" s="22"/>
      <c r="G183" s="5"/>
      <c r="H183" s="5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5"/>
      <c r="V183" s="5"/>
      <c r="W183" s="5"/>
      <c r="X183" s="5"/>
      <c r="Y183" s="5"/>
      <c r="Z183" s="5"/>
    </row>
    <row r="184" spans="1:26" ht="14.25" customHeight="1">
      <c r="A184" s="5"/>
      <c r="B184" s="22"/>
      <c r="C184" s="22"/>
      <c r="D184" s="5"/>
      <c r="E184" s="5"/>
      <c r="F184" s="22"/>
      <c r="G184" s="5"/>
      <c r="H184" s="5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5"/>
      <c r="V184" s="5"/>
      <c r="W184" s="5"/>
      <c r="X184" s="5"/>
      <c r="Y184" s="5"/>
      <c r="Z184" s="5"/>
    </row>
    <row r="185" spans="1:26" ht="14.25" customHeight="1">
      <c r="A185" s="5"/>
      <c r="B185" s="22"/>
      <c r="C185" s="22"/>
      <c r="D185" s="5"/>
      <c r="E185" s="5"/>
      <c r="F185" s="22"/>
      <c r="G185" s="5"/>
      <c r="H185" s="5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5"/>
      <c r="V185" s="5"/>
      <c r="W185" s="5"/>
      <c r="X185" s="5"/>
      <c r="Y185" s="5"/>
      <c r="Z185" s="5"/>
    </row>
    <row r="186" spans="1:26" ht="14.25" customHeight="1">
      <c r="A186" s="5"/>
      <c r="B186" s="22"/>
      <c r="C186" s="22"/>
      <c r="D186" s="5"/>
      <c r="E186" s="5"/>
      <c r="F186" s="22"/>
      <c r="G186" s="5"/>
      <c r="H186" s="5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5"/>
      <c r="V186" s="5"/>
      <c r="W186" s="5"/>
      <c r="X186" s="5"/>
      <c r="Y186" s="5"/>
      <c r="Z186" s="5"/>
    </row>
    <row r="187" spans="1:26" ht="14.25" customHeight="1">
      <c r="A187" s="5"/>
      <c r="B187" s="22"/>
      <c r="C187" s="22"/>
      <c r="D187" s="5"/>
      <c r="E187" s="5"/>
      <c r="F187" s="22"/>
      <c r="G187" s="5"/>
      <c r="H187" s="5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5"/>
      <c r="V187" s="5"/>
      <c r="W187" s="5"/>
      <c r="X187" s="5"/>
      <c r="Y187" s="5"/>
      <c r="Z187" s="5"/>
    </row>
    <row r="188" spans="1:26" ht="14.25" customHeight="1">
      <c r="A188" s="5"/>
      <c r="B188" s="22"/>
      <c r="C188" s="22"/>
      <c r="D188" s="5"/>
      <c r="E188" s="5"/>
      <c r="F188" s="22"/>
      <c r="G188" s="5"/>
      <c r="H188" s="5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5"/>
      <c r="V188" s="5"/>
      <c r="W188" s="5"/>
      <c r="X188" s="5"/>
      <c r="Y188" s="5"/>
      <c r="Z188" s="5"/>
    </row>
    <row r="189" spans="1:26" ht="14.25" customHeight="1">
      <c r="A189" s="5"/>
      <c r="B189" s="22"/>
      <c r="C189" s="22"/>
      <c r="D189" s="5"/>
      <c r="E189" s="5"/>
      <c r="F189" s="22"/>
      <c r="G189" s="5"/>
      <c r="H189" s="5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5"/>
      <c r="V189" s="5"/>
      <c r="W189" s="5"/>
      <c r="X189" s="5"/>
      <c r="Y189" s="5"/>
      <c r="Z189" s="5"/>
    </row>
    <row r="190" spans="1:26" ht="14.25" customHeight="1">
      <c r="A190" s="5"/>
      <c r="B190" s="22"/>
      <c r="C190" s="22"/>
      <c r="D190" s="5"/>
      <c r="E190" s="5"/>
      <c r="F190" s="22"/>
      <c r="G190" s="5"/>
      <c r="H190" s="5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5"/>
      <c r="V190" s="5"/>
      <c r="W190" s="5"/>
      <c r="X190" s="5"/>
      <c r="Y190" s="5"/>
      <c r="Z190" s="5"/>
    </row>
    <row r="191" spans="1:26" ht="14.25" customHeight="1">
      <c r="A191" s="5"/>
      <c r="B191" s="22"/>
      <c r="C191" s="22"/>
      <c r="D191" s="5"/>
      <c r="E191" s="5"/>
      <c r="F191" s="22"/>
      <c r="G191" s="5"/>
      <c r="H191" s="5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5"/>
      <c r="V191" s="5"/>
      <c r="W191" s="5"/>
      <c r="X191" s="5"/>
      <c r="Y191" s="5"/>
      <c r="Z191" s="5"/>
    </row>
    <row r="192" spans="1:26" ht="14.25" customHeight="1">
      <c r="A192" s="5"/>
      <c r="B192" s="22"/>
      <c r="C192" s="22"/>
      <c r="D192" s="5"/>
      <c r="E192" s="5"/>
      <c r="F192" s="22"/>
      <c r="G192" s="5"/>
      <c r="H192" s="5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5"/>
      <c r="V192" s="5"/>
      <c r="W192" s="5"/>
      <c r="X192" s="5"/>
      <c r="Y192" s="5"/>
      <c r="Z192" s="5"/>
    </row>
    <row r="193" spans="1:26" ht="14.25" customHeight="1">
      <c r="A193" s="5"/>
      <c r="B193" s="22"/>
      <c r="C193" s="22"/>
      <c r="D193" s="5"/>
      <c r="E193" s="5"/>
      <c r="F193" s="22"/>
      <c r="G193" s="5"/>
      <c r="H193" s="5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5"/>
      <c r="V193" s="5"/>
      <c r="W193" s="5"/>
      <c r="X193" s="5"/>
      <c r="Y193" s="5"/>
      <c r="Z193" s="5"/>
    </row>
    <row r="194" spans="1:26" ht="14.25" customHeight="1">
      <c r="A194" s="5"/>
      <c r="B194" s="22"/>
      <c r="C194" s="22"/>
      <c r="D194" s="5"/>
      <c r="E194" s="5"/>
      <c r="F194" s="22"/>
      <c r="G194" s="5"/>
      <c r="H194" s="5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5"/>
      <c r="V194" s="5"/>
      <c r="W194" s="5"/>
      <c r="X194" s="5"/>
      <c r="Y194" s="5"/>
      <c r="Z194" s="5"/>
    </row>
    <row r="195" spans="1:26" ht="14.25" customHeight="1">
      <c r="A195" s="5"/>
      <c r="B195" s="22"/>
      <c r="C195" s="22"/>
      <c r="D195" s="5"/>
      <c r="E195" s="5"/>
      <c r="F195" s="22"/>
      <c r="G195" s="5"/>
      <c r="H195" s="5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5"/>
      <c r="V195" s="5"/>
      <c r="W195" s="5"/>
      <c r="X195" s="5"/>
      <c r="Y195" s="5"/>
      <c r="Z195" s="5"/>
    </row>
    <row r="196" spans="1:26" ht="14.25" customHeight="1">
      <c r="A196" s="5"/>
      <c r="B196" s="22"/>
      <c r="C196" s="22"/>
      <c r="D196" s="5"/>
      <c r="E196" s="5"/>
      <c r="F196" s="22"/>
      <c r="G196" s="5"/>
      <c r="H196" s="5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5"/>
      <c r="V196" s="5"/>
      <c r="W196" s="5"/>
      <c r="X196" s="5"/>
      <c r="Y196" s="5"/>
      <c r="Z196" s="5"/>
    </row>
    <row r="197" spans="1:26" ht="14.25" customHeight="1">
      <c r="A197" s="5"/>
      <c r="B197" s="22"/>
      <c r="C197" s="22"/>
      <c r="D197" s="5"/>
      <c r="E197" s="5"/>
      <c r="F197" s="22"/>
      <c r="G197" s="5"/>
      <c r="H197" s="5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5"/>
      <c r="V197" s="5"/>
      <c r="W197" s="5"/>
      <c r="X197" s="5"/>
      <c r="Y197" s="5"/>
      <c r="Z197" s="5"/>
    </row>
    <row r="198" spans="1:26" ht="14.25" customHeight="1">
      <c r="A198" s="5"/>
      <c r="B198" s="22"/>
      <c r="C198" s="22"/>
      <c r="D198" s="5"/>
      <c r="E198" s="5"/>
      <c r="F198" s="22"/>
      <c r="G198" s="5"/>
      <c r="H198" s="5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5"/>
      <c r="V198" s="5"/>
      <c r="W198" s="5"/>
      <c r="X198" s="5"/>
      <c r="Y198" s="5"/>
      <c r="Z198" s="5"/>
    </row>
    <row r="199" spans="1:26" ht="14.25" customHeight="1">
      <c r="A199" s="5"/>
      <c r="B199" s="22"/>
      <c r="C199" s="22"/>
      <c r="D199" s="5"/>
      <c r="E199" s="5"/>
      <c r="F199" s="22"/>
      <c r="G199" s="5"/>
      <c r="H199" s="5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5"/>
      <c r="V199" s="5"/>
      <c r="W199" s="5"/>
      <c r="X199" s="5"/>
      <c r="Y199" s="5"/>
      <c r="Z199" s="5"/>
    </row>
    <row r="200" spans="1:26" ht="14.25" customHeight="1">
      <c r="A200" s="5"/>
      <c r="B200" s="22"/>
      <c r="C200" s="22"/>
      <c r="D200" s="5"/>
      <c r="E200" s="5"/>
      <c r="F200" s="22"/>
      <c r="G200" s="5"/>
      <c r="H200" s="5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5"/>
      <c r="V200" s="5"/>
      <c r="W200" s="5"/>
      <c r="X200" s="5"/>
      <c r="Y200" s="5"/>
      <c r="Z200" s="5"/>
    </row>
    <row r="201" spans="1:26" ht="14.25" customHeight="1">
      <c r="A201" s="5"/>
      <c r="B201" s="22"/>
      <c r="C201" s="22"/>
      <c r="D201" s="5"/>
      <c r="E201" s="5"/>
      <c r="F201" s="22"/>
      <c r="G201" s="5"/>
      <c r="H201" s="5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5"/>
      <c r="V201" s="5"/>
      <c r="W201" s="5"/>
      <c r="X201" s="5"/>
      <c r="Y201" s="5"/>
      <c r="Z201" s="5"/>
    </row>
    <row r="202" spans="1:26" ht="14.25" customHeight="1">
      <c r="A202" s="5"/>
      <c r="B202" s="22"/>
      <c r="C202" s="22"/>
      <c r="D202" s="5"/>
      <c r="E202" s="5"/>
      <c r="F202" s="22"/>
      <c r="G202" s="5"/>
      <c r="H202" s="5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5"/>
      <c r="V202" s="5"/>
      <c r="W202" s="5"/>
      <c r="X202" s="5"/>
      <c r="Y202" s="5"/>
      <c r="Z202" s="5"/>
    </row>
    <row r="203" spans="1:26" ht="14.25" customHeight="1">
      <c r="A203" s="5"/>
      <c r="B203" s="22"/>
      <c r="C203" s="22"/>
      <c r="D203" s="5"/>
      <c r="E203" s="5"/>
      <c r="F203" s="22"/>
      <c r="G203" s="5"/>
      <c r="H203" s="5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5"/>
      <c r="V203" s="5"/>
      <c r="W203" s="5"/>
      <c r="X203" s="5"/>
      <c r="Y203" s="5"/>
      <c r="Z203" s="5"/>
    </row>
    <row r="204" spans="1:26" ht="14.25" customHeight="1">
      <c r="A204" s="5"/>
      <c r="B204" s="22"/>
      <c r="C204" s="22"/>
      <c r="D204" s="5"/>
      <c r="E204" s="5"/>
      <c r="F204" s="22"/>
      <c r="G204" s="5"/>
      <c r="H204" s="5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5"/>
      <c r="V204" s="5"/>
      <c r="W204" s="5"/>
      <c r="X204" s="5"/>
      <c r="Y204" s="5"/>
      <c r="Z204" s="5"/>
    </row>
    <row r="205" spans="1:26" ht="14.25" customHeight="1">
      <c r="A205" s="5"/>
      <c r="B205" s="22"/>
      <c r="C205" s="22"/>
      <c r="D205" s="5"/>
      <c r="E205" s="5"/>
      <c r="F205" s="22"/>
      <c r="G205" s="5"/>
      <c r="H205" s="5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5"/>
      <c r="V205" s="5"/>
      <c r="W205" s="5"/>
      <c r="X205" s="5"/>
      <c r="Y205" s="5"/>
      <c r="Z205" s="5"/>
    </row>
    <row r="206" spans="1:26" ht="14.25" customHeight="1">
      <c r="A206" s="5"/>
      <c r="B206" s="22"/>
      <c r="C206" s="22"/>
      <c r="D206" s="5"/>
      <c r="E206" s="5"/>
      <c r="F206" s="22"/>
      <c r="G206" s="5"/>
      <c r="H206" s="5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5"/>
      <c r="V206" s="5"/>
      <c r="W206" s="5"/>
      <c r="X206" s="5"/>
      <c r="Y206" s="5"/>
      <c r="Z206" s="5"/>
    </row>
    <row r="207" spans="1:26" ht="14.25" customHeight="1">
      <c r="A207" s="5"/>
      <c r="B207" s="22"/>
      <c r="C207" s="22"/>
      <c r="D207" s="5"/>
      <c r="E207" s="5"/>
      <c r="F207" s="22"/>
      <c r="G207" s="5"/>
      <c r="H207" s="5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5"/>
      <c r="V207" s="5"/>
      <c r="W207" s="5"/>
      <c r="X207" s="5"/>
      <c r="Y207" s="5"/>
      <c r="Z207" s="5"/>
    </row>
    <row r="208" spans="1:26" ht="14.25" customHeight="1">
      <c r="A208" s="5"/>
      <c r="B208" s="22"/>
      <c r="C208" s="22"/>
      <c r="D208" s="5"/>
      <c r="E208" s="5"/>
      <c r="F208" s="22"/>
      <c r="G208" s="5"/>
      <c r="H208" s="5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5"/>
      <c r="V208" s="5"/>
      <c r="W208" s="5"/>
      <c r="X208" s="5"/>
      <c r="Y208" s="5"/>
      <c r="Z208" s="5"/>
    </row>
    <row r="209" spans="1:26" ht="14.25" customHeight="1">
      <c r="A209" s="5"/>
      <c r="B209" s="22"/>
      <c r="C209" s="22"/>
      <c r="D209" s="5"/>
      <c r="E209" s="5"/>
      <c r="F209" s="22"/>
      <c r="G209" s="5"/>
      <c r="H209" s="5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5"/>
      <c r="V209" s="5"/>
      <c r="W209" s="5"/>
      <c r="X209" s="5"/>
      <c r="Y209" s="5"/>
      <c r="Z209" s="5"/>
    </row>
    <row r="210" spans="1:26" ht="14.25" customHeight="1">
      <c r="A210" s="5"/>
      <c r="B210" s="22"/>
      <c r="C210" s="22"/>
      <c r="D210" s="5"/>
      <c r="E210" s="5"/>
      <c r="F210" s="22"/>
      <c r="G210" s="5"/>
      <c r="H210" s="5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5"/>
      <c r="V210" s="5"/>
      <c r="W210" s="5"/>
      <c r="X210" s="5"/>
      <c r="Y210" s="5"/>
      <c r="Z210" s="5"/>
    </row>
    <row r="211" spans="1:26" ht="14.25" customHeight="1">
      <c r="A211" s="5"/>
      <c r="B211" s="22"/>
      <c r="C211" s="22"/>
      <c r="D211" s="5"/>
      <c r="E211" s="5"/>
      <c r="F211" s="22"/>
      <c r="G211" s="5"/>
      <c r="H211" s="5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5"/>
      <c r="V211" s="5"/>
      <c r="W211" s="5"/>
      <c r="X211" s="5"/>
      <c r="Y211" s="5"/>
      <c r="Z211" s="5"/>
    </row>
    <row r="212" spans="1:26" ht="14.25" customHeight="1">
      <c r="A212" s="5"/>
      <c r="B212" s="22"/>
      <c r="C212" s="22"/>
      <c r="D212" s="5"/>
      <c r="E212" s="5"/>
      <c r="F212" s="22"/>
      <c r="G212" s="5"/>
      <c r="H212" s="5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5"/>
      <c r="V212" s="5"/>
      <c r="W212" s="5"/>
      <c r="X212" s="5"/>
      <c r="Y212" s="5"/>
      <c r="Z212" s="5"/>
    </row>
    <row r="213" spans="1:26" ht="14.25" customHeight="1">
      <c r="A213" s="5"/>
      <c r="B213" s="22"/>
      <c r="C213" s="22"/>
      <c r="D213" s="5"/>
      <c r="E213" s="5"/>
      <c r="F213" s="22"/>
      <c r="G213" s="5"/>
      <c r="H213" s="5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5"/>
      <c r="V213" s="5"/>
      <c r="W213" s="5"/>
      <c r="X213" s="5"/>
      <c r="Y213" s="5"/>
      <c r="Z213" s="5"/>
    </row>
    <row r="214" spans="1:26" ht="14.25" customHeight="1">
      <c r="A214" s="5"/>
      <c r="B214" s="22"/>
      <c r="C214" s="22"/>
      <c r="D214" s="5"/>
      <c r="E214" s="5"/>
      <c r="F214" s="22"/>
      <c r="G214" s="5"/>
      <c r="H214" s="5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5"/>
      <c r="V214" s="5"/>
      <c r="W214" s="5"/>
      <c r="X214" s="5"/>
      <c r="Y214" s="5"/>
      <c r="Z214" s="5"/>
    </row>
    <row r="215" spans="1:26" ht="14.25" customHeight="1">
      <c r="A215" s="5"/>
      <c r="B215" s="22"/>
      <c r="C215" s="22"/>
      <c r="D215" s="5"/>
      <c r="E215" s="5"/>
      <c r="F215" s="22"/>
      <c r="G215" s="5"/>
      <c r="H215" s="5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5"/>
      <c r="V215" s="5"/>
      <c r="W215" s="5"/>
      <c r="X215" s="5"/>
      <c r="Y215" s="5"/>
      <c r="Z215" s="5"/>
    </row>
    <row r="216" spans="1:26" ht="14.25" customHeight="1">
      <c r="A216" s="5"/>
      <c r="B216" s="22"/>
      <c r="C216" s="22"/>
      <c r="D216" s="5"/>
      <c r="E216" s="5"/>
      <c r="F216" s="22"/>
      <c r="G216" s="5"/>
      <c r="H216" s="5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5"/>
      <c r="V216" s="5"/>
      <c r="W216" s="5"/>
      <c r="X216" s="5"/>
      <c r="Y216" s="5"/>
      <c r="Z216" s="5"/>
    </row>
    <row r="217" spans="1:26" ht="14.25" customHeight="1">
      <c r="A217" s="5"/>
      <c r="B217" s="22"/>
      <c r="C217" s="22"/>
      <c r="D217" s="5"/>
      <c r="E217" s="5"/>
      <c r="F217" s="22"/>
      <c r="G217" s="5"/>
      <c r="H217" s="5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5"/>
      <c r="V217" s="5"/>
      <c r="W217" s="5"/>
      <c r="X217" s="5"/>
      <c r="Y217" s="5"/>
      <c r="Z217" s="5"/>
    </row>
    <row r="218" spans="1:26" ht="14.25" customHeight="1">
      <c r="A218" s="5"/>
      <c r="B218" s="22"/>
      <c r="C218" s="22"/>
      <c r="D218" s="5"/>
      <c r="E218" s="5"/>
      <c r="F218" s="22"/>
      <c r="G218" s="5"/>
      <c r="H218" s="5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5"/>
      <c r="V218" s="5"/>
      <c r="W218" s="5"/>
      <c r="X218" s="5"/>
      <c r="Y218" s="5"/>
      <c r="Z218" s="5"/>
    </row>
    <row r="219" spans="1:26" ht="14.25" customHeight="1">
      <c r="A219" s="5"/>
      <c r="B219" s="22"/>
      <c r="C219" s="22"/>
      <c r="D219" s="5"/>
      <c r="E219" s="5"/>
      <c r="F219" s="22"/>
      <c r="G219" s="5"/>
      <c r="H219" s="5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5"/>
      <c r="V219" s="5"/>
      <c r="W219" s="5"/>
      <c r="X219" s="5"/>
      <c r="Y219" s="5"/>
      <c r="Z219" s="5"/>
    </row>
    <row r="220" spans="1:26" ht="14.25" customHeight="1">
      <c r="A220" s="5"/>
      <c r="B220" s="22"/>
      <c r="C220" s="22"/>
      <c r="D220" s="5"/>
      <c r="E220" s="5"/>
      <c r="F220" s="22"/>
      <c r="G220" s="5"/>
      <c r="H220" s="5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5"/>
      <c r="V220" s="5"/>
      <c r="W220" s="5"/>
      <c r="X220" s="5"/>
      <c r="Y220" s="5"/>
      <c r="Z220" s="5"/>
    </row>
    <row r="221" spans="1:26" ht="14.25" customHeight="1">
      <c r="A221" s="5"/>
      <c r="B221" s="22"/>
      <c r="C221" s="22"/>
      <c r="D221" s="5"/>
      <c r="E221" s="5"/>
      <c r="F221" s="22"/>
      <c r="G221" s="5"/>
      <c r="H221" s="5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5"/>
      <c r="V221" s="5"/>
      <c r="W221" s="5"/>
      <c r="X221" s="5"/>
      <c r="Y221" s="5"/>
      <c r="Z221" s="5"/>
    </row>
    <row r="222" spans="1:26" ht="14.25" customHeight="1">
      <c r="A222" s="5"/>
      <c r="B222" s="22"/>
      <c r="C222" s="22"/>
      <c r="D222" s="5"/>
      <c r="E222" s="5"/>
      <c r="F222" s="22"/>
      <c r="G222" s="5"/>
      <c r="H222" s="5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5"/>
      <c r="V222" s="5"/>
      <c r="W222" s="5"/>
      <c r="X222" s="5"/>
      <c r="Y222" s="5"/>
      <c r="Z222" s="5"/>
    </row>
    <row r="223" spans="1:26" ht="14.25" customHeight="1">
      <c r="A223" s="5"/>
      <c r="B223" s="22"/>
      <c r="C223" s="22"/>
      <c r="D223" s="5"/>
      <c r="E223" s="5"/>
      <c r="F223" s="22"/>
      <c r="G223" s="5"/>
      <c r="H223" s="5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5"/>
      <c r="V223" s="5"/>
      <c r="W223" s="5"/>
      <c r="X223" s="5"/>
      <c r="Y223" s="5"/>
      <c r="Z223" s="5"/>
    </row>
    <row r="224" spans="1:26" ht="14.25" customHeight="1">
      <c r="A224" s="5"/>
      <c r="B224" s="22"/>
      <c r="C224" s="22"/>
      <c r="D224" s="5"/>
      <c r="E224" s="5"/>
      <c r="F224" s="22"/>
      <c r="G224" s="5"/>
      <c r="H224" s="5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5"/>
      <c r="V224" s="5"/>
      <c r="W224" s="5"/>
      <c r="X224" s="5"/>
      <c r="Y224" s="5"/>
      <c r="Z224" s="5"/>
    </row>
    <row r="225" spans="1:26" ht="14.25" customHeight="1">
      <c r="A225" s="5"/>
      <c r="B225" s="22"/>
      <c r="C225" s="22"/>
      <c r="D225" s="5"/>
      <c r="E225" s="5"/>
      <c r="F225" s="22"/>
      <c r="G225" s="5"/>
      <c r="H225" s="5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5"/>
      <c r="V225" s="5"/>
      <c r="W225" s="5"/>
      <c r="X225" s="5"/>
      <c r="Y225" s="5"/>
      <c r="Z225" s="5"/>
    </row>
    <row r="226" spans="1:26" ht="14.25" customHeight="1">
      <c r="A226" s="5"/>
      <c r="B226" s="22"/>
      <c r="C226" s="22"/>
      <c r="D226" s="5"/>
      <c r="E226" s="5"/>
      <c r="F226" s="22"/>
      <c r="G226" s="5"/>
      <c r="H226" s="5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5"/>
      <c r="V226" s="5"/>
      <c r="W226" s="5"/>
      <c r="X226" s="5"/>
      <c r="Y226" s="5"/>
      <c r="Z226" s="5"/>
    </row>
    <row r="227" spans="1:26" ht="14.25" customHeight="1">
      <c r="A227" s="5"/>
      <c r="B227" s="22"/>
      <c r="C227" s="22"/>
      <c r="D227" s="5"/>
      <c r="E227" s="5"/>
      <c r="F227" s="22"/>
      <c r="G227" s="5"/>
      <c r="H227" s="5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5"/>
      <c r="V227" s="5"/>
      <c r="W227" s="5"/>
      <c r="X227" s="5"/>
      <c r="Y227" s="5"/>
      <c r="Z227" s="5"/>
    </row>
    <row r="228" spans="1:26" ht="14.25" customHeight="1">
      <c r="A228" s="5"/>
      <c r="B228" s="22"/>
      <c r="C228" s="22"/>
      <c r="D228" s="5"/>
      <c r="E228" s="5"/>
      <c r="F228" s="22"/>
      <c r="G228" s="5"/>
      <c r="H228" s="5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5"/>
      <c r="V228" s="5"/>
      <c r="W228" s="5"/>
      <c r="X228" s="5"/>
      <c r="Y228" s="5"/>
      <c r="Z228" s="5"/>
    </row>
    <row r="229" spans="1:26" ht="14.25" customHeight="1">
      <c r="A229" s="5"/>
      <c r="B229" s="22"/>
      <c r="C229" s="22"/>
      <c r="D229" s="5"/>
      <c r="E229" s="5"/>
      <c r="F229" s="22"/>
      <c r="G229" s="5"/>
      <c r="H229" s="5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5"/>
      <c r="V229" s="5"/>
      <c r="W229" s="5"/>
      <c r="X229" s="5"/>
      <c r="Y229" s="5"/>
      <c r="Z229" s="5"/>
    </row>
    <row r="230" spans="1:26" ht="14.25" customHeight="1">
      <c r="A230" s="5"/>
      <c r="B230" s="22"/>
      <c r="C230" s="22"/>
      <c r="D230" s="5"/>
      <c r="E230" s="5"/>
      <c r="F230" s="22"/>
      <c r="G230" s="5"/>
      <c r="H230" s="5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5"/>
      <c r="V230" s="5"/>
      <c r="W230" s="5"/>
      <c r="X230" s="5"/>
      <c r="Y230" s="5"/>
      <c r="Z230" s="5"/>
    </row>
    <row r="231" spans="1:26" ht="14.25" customHeight="1">
      <c r="A231" s="5"/>
      <c r="B231" s="22"/>
      <c r="C231" s="22"/>
      <c r="D231" s="5"/>
      <c r="E231" s="5"/>
      <c r="F231" s="22"/>
      <c r="G231" s="5"/>
      <c r="H231" s="5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5"/>
      <c r="V231" s="5"/>
      <c r="W231" s="5"/>
      <c r="X231" s="5"/>
      <c r="Y231" s="5"/>
      <c r="Z231" s="5"/>
    </row>
    <row r="232" spans="1:26" ht="14.25" customHeight="1">
      <c r="A232" s="5"/>
      <c r="B232" s="22"/>
      <c r="C232" s="22"/>
      <c r="D232" s="5"/>
      <c r="E232" s="5"/>
      <c r="F232" s="22"/>
      <c r="G232" s="5"/>
      <c r="H232" s="5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5"/>
      <c r="V232" s="5"/>
      <c r="W232" s="5"/>
      <c r="X232" s="5"/>
      <c r="Y232" s="5"/>
      <c r="Z232" s="5"/>
    </row>
    <row r="233" spans="1:26" ht="14.25" customHeight="1">
      <c r="A233" s="5"/>
      <c r="B233" s="22"/>
      <c r="C233" s="22"/>
      <c r="D233" s="5"/>
      <c r="E233" s="5"/>
      <c r="F233" s="22"/>
      <c r="G233" s="5"/>
      <c r="H233" s="5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5"/>
      <c r="V233" s="5"/>
      <c r="W233" s="5"/>
      <c r="X233" s="5"/>
      <c r="Y233" s="5"/>
      <c r="Z233" s="5"/>
    </row>
    <row r="234" spans="1:26" ht="14.25" customHeight="1">
      <c r="A234" s="5"/>
      <c r="B234" s="22"/>
      <c r="C234" s="22"/>
      <c r="D234" s="5"/>
      <c r="E234" s="5"/>
      <c r="F234" s="22"/>
      <c r="G234" s="5"/>
      <c r="H234" s="5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5"/>
      <c r="V234" s="5"/>
      <c r="W234" s="5"/>
      <c r="X234" s="5"/>
      <c r="Y234" s="5"/>
      <c r="Z234" s="5"/>
    </row>
    <row r="235" spans="1:26" ht="14.25" customHeight="1">
      <c r="A235" s="5"/>
      <c r="B235" s="22"/>
      <c r="C235" s="22"/>
      <c r="D235" s="5"/>
      <c r="E235" s="5"/>
      <c r="F235" s="22"/>
      <c r="G235" s="5"/>
      <c r="H235" s="5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5"/>
      <c r="V235" s="5"/>
      <c r="W235" s="5"/>
      <c r="X235" s="5"/>
      <c r="Y235" s="5"/>
      <c r="Z235" s="5"/>
    </row>
    <row r="236" spans="1:26" ht="14.25" customHeight="1">
      <c r="A236" s="5"/>
      <c r="B236" s="22"/>
      <c r="C236" s="22"/>
      <c r="D236" s="5"/>
      <c r="E236" s="5"/>
      <c r="F236" s="22"/>
      <c r="G236" s="5"/>
      <c r="H236" s="5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5"/>
      <c r="V236" s="5"/>
      <c r="W236" s="5"/>
      <c r="X236" s="5"/>
      <c r="Y236" s="5"/>
      <c r="Z236" s="5"/>
    </row>
    <row r="237" spans="1:26" ht="14.25" customHeight="1">
      <c r="A237" s="5"/>
      <c r="B237" s="22"/>
      <c r="C237" s="22"/>
      <c r="D237" s="5"/>
      <c r="E237" s="5"/>
      <c r="F237" s="22"/>
      <c r="G237" s="5"/>
      <c r="H237" s="5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5"/>
      <c r="V237" s="5"/>
      <c r="W237" s="5"/>
      <c r="X237" s="5"/>
      <c r="Y237" s="5"/>
      <c r="Z237" s="5"/>
    </row>
    <row r="238" spans="1:26" ht="14.25" customHeight="1">
      <c r="A238" s="5"/>
      <c r="B238" s="22"/>
      <c r="C238" s="22"/>
      <c r="D238" s="5"/>
      <c r="E238" s="5"/>
      <c r="F238" s="22"/>
      <c r="G238" s="5"/>
      <c r="H238" s="5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5"/>
      <c r="V238" s="5"/>
      <c r="W238" s="5"/>
      <c r="X238" s="5"/>
      <c r="Y238" s="5"/>
      <c r="Z238" s="5"/>
    </row>
    <row r="239" spans="1:26" ht="14.25" customHeight="1">
      <c r="A239" s="5"/>
      <c r="B239" s="22"/>
      <c r="C239" s="22"/>
      <c r="D239" s="5"/>
      <c r="E239" s="5"/>
      <c r="F239" s="22"/>
      <c r="G239" s="5"/>
      <c r="H239" s="5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5"/>
      <c r="V239" s="5"/>
      <c r="W239" s="5"/>
      <c r="X239" s="5"/>
      <c r="Y239" s="5"/>
      <c r="Z239" s="5"/>
    </row>
    <row r="240" spans="1:26" ht="14.25" customHeight="1">
      <c r="A240" s="5"/>
      <c r="B240" s="22"/>
      <c r="C240" s="22"/>
      <c r="D240" s="5"/>
      <c r="E240" s="5"/>
      <c r="F240" s="22"/>
      <c r="G240" s="5"/>
      <c r="H240" s="5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5"/>
      <c r="V240" s="5"/>
      <c r="W240" s="5"/>
      <c r="X240" s="5"/>
      <c r="Y240" s="5"/>
      <c r="Z240" s="5"/>
    </row>
    <row r="241" spans="1:26" ht="14.25" customHeight="1">
      <c r="A241" s="5"/>
      <c r="B241" s="22"/>
      <c r="C241" s="22"/>
      <c r="D241" s="5"/>
      <c r="E241" s="5"/>
      <c r="F241" s="22"/>
      <c r="G241" s="5"/>
      <c r="H241" s="5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5"/>
      <c r="V241" s="5"/>
      <c r="W241" s="5"/>
      <c r="X241" s="5"/>
      <c r="Y241" s="5"/>
      <c r="Z241" s="5"/>
    </row>
    <row r="242" spans="1:26" ht="14.25" customHeight="1">
      <c r="A242" s="5"/>
      <c r="B242" s="22"/>
      <c r="C242" s="22"/>
      <c r="D242" s="5"/>
      <c r="E242" s="5"/>
      <c r="F242" s="22"/>
      <c r="G242" s="5"/>
      <c r="H242" s="5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5"/>
      <c r="V242" s="5"/>
      <c r="W242" s="5"/>
      <c r="X242" s="5"/>
      <c r="Y242" s="5"/>
      <c r="Z242" s="5"/>
    </row>
    <row r="243" spans="1:26" ht="14.25" customHeight="1">
      <c r="A243" s="5"/>
      <c r="B243" s="22"/>
      <c r="C243" s="22"/>
      <c r="D243" s="5"/>
      <c r="E243" s="5"/>
      <c r="F243" s="22"/>
      <c r="G243" s="5"/>
      <c r="H243" s="5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5"/>
      <c r="V243" s="5"/>
      <c r="W243" s="5"/>
      <c r="X243" s="5"/>
      <c r="Y243" s="5"/>
      <c r="Z243" s="5"/>
    </row>
    <row r="244" spans="1:26" ht="14.25" customHeight="1">
      <c r="A244" s="5"/>
      <c r="B244" s="22"/>
      <c r="C244" s="22"/>
      <c r="D244" s="5"/>
      <c r="E244" s="5"/>
      <c r="F244" s="22"/>
      <c r="G244" s="5"/>
      <c r="H244" s="5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5"/>
      <c r="V244" s="5"/>
      <c r="W244" s="5"/>
      <c r="X244" s="5"/>
      <c r="Y244" s="5"/>
      <c r="Z244" s="5"/>
    </row>
    <row r="245" spans="1:26" ht="14.25" customHeight="1">
      <c r="A245" s="5"/>
      <c r="B245" s="22"/>
      <c r="C245" s="22"/>
      <c r="D245" s="5"/>
      <c r="E245" s="5"/>
      <c r="F245" s="22"/>
      <c r="G245" s="5"/>
      <c r="H245" s="5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5"/>
      <c r="V245" s="5"/>
      <c r="W245" s="5"/>
      <c r="X245" s="5"/>
      <c r="Y245" s="5"/>
      <c r="Z245" s="5"/>
    </row>
    <row r="246" spans="1:26" ht="14.25" customHeight="1">
      <c r="A246" s="5"/>
      <c r="B246" s="22"/>
      <c r="C246" s="22"/>
      <c r="D246" s="5"/>
      <c r="E246" s="5"/>
      <c r="F246" s="22"/>
      <c r="G246" s="5"/>
      <c r="H246" s="5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5"/>
      <c r="V246" s="5"/>
      <c r="W246" s="5"/>
      <c r="X246" s="5"/>
      <c r="Y246" s="5"/>
      <c r="Z246" s="5"/>
    </row>
    <row r="247" spans="1:26" ht="14.25" customHeight="1">
      <c r="A247" s="5"/>
      <c r="B247" s="22"/>
      <c r="C247" s="22"/>
      <c r="D247" s="5"/>
      <c r="E247" s="5"/>
      <c r="F247" s="22"/>
      <c r="G247" s="5"/>
      <c r="H247" s="5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5"/>
      <c r="V247" s="5"/>
      <c r="W247" s="5"/>
      <c r="X247" s="5"/>
      <c r="Y247" s="5"/>
      <c r="Z247" s="5"/>
    </row>
    <row r="248" spans="1:26" ht="14.25" customHeight="1">
      <c r="A248" s="5"/>
      <c r="B248" s="22"/>
      <c r="C248" s="22"/>
      <c r="D248" s="5"/>
      <c r="E248" s="5"/>
      <c r="F248" s="22"/>
      <c r="G248" s="5"/>
      <c r="H248" s="5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5"/>
      <c r="V248" s="5"/>
      <c r="W248" s="5"/>
      <c r="X248" s="5"/>
      <c r="Y248" s="5"/>
      <c r="Z248" s="5"/>
    </row>
    <row r="249" spans="1:26" ht="14.25" customHeight="1">
      <c r="A249" s="5"/>
      <c r="B249" s="22"/>
      <c r="C249" s="22"/>
      <c r="D249" s="5"/>
      <c r="E249" s="5"/>
      <c r="F249" s="22"/>
      <c r="G249" s="5"/>
      <c r="H249" s="5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5"/>
      <c r="V249" s="5"/>
      <c r="W249" s="5"/>
      <c r="X249" s="5"/>
      <c r="Y249" s="5"/>
      <c r="Z249" s="5"/>
    </row>
    <row r="250" spans="1:26" ht="14.25" customHeight="1">
      <c r="A250" s="5"/>
      <c r="B250" s="22"/>
      <c r="C250" s="22"/>
      <c r="D250" s="5"/>
      <c r="E250" s="5"/>
      <c r="F250" s="22"/>
      <c r="G250" s="5"/>
      <c r="H250" s="5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5"/>
      <c r="V250" s="5"/>
      <c r="W250" s="5"/>
      <c r="X250" s="5"/>
      <c r="Y250" s="5"/>
      <c r="Z250" s="5"/>
    </row>
    <row r="251" spans="1:26" ht="14.25" customHeight="1">
      <c r="A251" s="5"/>
      <c r="B251" s="22"/>
      <c r="C251" s="22"/>
      <c r="D251" s="5"/>
      <c r="E251" s="5"/>
      <c r="F251" s="22"/>
      <c r="G251" s="5"/>
      <c r="H251" s="5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5"/>
      <c r="V251" s="5"/>
      <c r="W251" s="5"/>
      <c r="X251" s="5"/>
      <c r="Y251" s="5"/>
      <c r="Z251" s="5"/>
    </row>
    <row r="252" spans="1:26" ht="14.25" customHeight="1">
      <c r="A252" s="5"/>
      <c r="B252" s="22"/>
      <c r="C252" s="22"/>
      <c r="D252" s="5"/>
      <c r="E252" s="5"/>
      <c r="F252" s="22"/>
      <c r="G252" s="5"/>
      <c r="H252" s="5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5"/>
      <c r="V252" s="5"/>
      <c r="W252" s="5"/>
      <c r="X252" s="5"/>
      <c r="Y252" s="5"/>
      <c r="Z252" s="5"/>
    </row>
    <row r="253" spans="1:26" ht="14.25" customHeight="1">
      <c r="A253" s="5"/>
      <c r="B253" s="22"/>
      <c r="C253" s="22"/>
      <c r="D253" s="5"/>
      <c r="E253" s="5"/>
      <c r="F253" s="22"/>
      <c r="G253" s="5"/>
      <c r="H253" s="5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5"/>
      <c r="V253" s="5"/>
      <c r="W253" s="5"/>
      <c r="X253" s="5"/>
      <c r="Y253" s="5"/>
      <c r="Z253" s="5"/>
    </row>
    <row r="254" spans="1:26" ht="14.25" customHeight="1">
      <c r="A254" s="5"/>
      <c r="B254" s="22"/>
      <c r="C254" s="22"/>
      <c r="D254" s="5"/>
      <c r="E254" s="5"/>
      <c r="F254" s="22"/>
      <c r="G254" s="5"/>
      <c r="H254" s="5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5"/>
      <c r="V254" s="5"/>
      <c r="W254" s="5"/>
      <c r="X254" s="5"/>
      <c r="Y254" s="5"/>
      <c r="Z254" s="5"/>
    </row>
    <row r="255" spans="1:26" ht="14.25" customHeight="1">
      <c r="A255" s="5"/>
      <c r="B255" s="22"/>
      <c r="C255" s="22"/>
      <c r="D255" s="5"/>
      <c r="E255" s="5"/>
      <c r="F255" s="22"/>
      <c r="G255" s="5"/>
      <c r="H255" s="5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5"/>
      <c r="V255" s="5"/>
      <c r="W255" s="5"/>
      <c r="X255" s="5"/>
      <c r="Y255" s="5"/>
      <c r="Z255" s="5"/>
    </row>
    <row r="256" spans="1:26" ht="14.25" customHeight="1">
      <c r="A256" s="5"/>
      <c r="B256" s="22"/>
      <c r="C256" s="22"/>
      <c r="D256" s="5"/>
      <c r="E256" s="5"/>
      <c r="F256" s="22"/>
      <c r="G256" s="5"/>
      <c r="H256" s="5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5"/>
      <c r="V256" s="5"/>
      <c r="W256" s="5"/>
      <c r="X256" s="5"/>
      <c r="Y256" s="5"/>
      <c r="Z256" s="5"/>
    </row>
    <row r="257" spans="1:26" ht="14.25" customHeight="1">
      <c r="A257" s="5"/>
      <c r="B257" s="22"/>
      <c r="C257" s="22"/>
      <c r="D257" s="5"/>
      <c r="E257" s="5"/>
      <c r="F257" s="22"/>
      <c r="G257" s="5"/>
      <c r="H257" s="5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5"/>
      <c r="V257" s="5"/>
      <c r="W257" s="5"/>
      <c r="X257" s="5"/>
      <c r="Y257" s="5"/>
      <c r="Z257" s="5"/>
    </row>
    <row r="258" spans="1:26" ht="14.25" customHeight="1">
      <c r="A258" s="5"/>
      <c r="B258" s="22"/>
      <c r="C258" s="22"/>
      <c r="D258" s="5"/>
      <c r="E258" s="5"/>
      <c r="F258" s="22"/>
      <c r="G258" s="5"/>
      <c r="H258" s="5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5"/>
      <c r="V258" s="5"/>
      <c r="W258" s="5"/>
      <c r="X258" s="5"/>
      <c r="Y258" s="5"/>
      <c r="Z258" s="5"/>
    </row>
    <row r="259" spans="1:26" ht="14.25" customHeight="1">
      <c r="A259" s="5"/>
      <c r="B259" s="22"/>
      <c r="C259" s="22"/>
      <c r="D259" s="5"/>
      <c r="E259" s="5"/>
      <c r="F259" s="22"/>
      <c r="G259" s="5"/>
      <c r="H259" s="5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5"/>
      <c r="V259" s="5"/>
      <c r="W259" s="5"/>
      <c r="X259" s="5"/>
      <c r="Y259" s="5"/>
      <c r="Z259" s="5"/>
    </row>
    <row r="260" spans="1:26" ht="14.25" customHeight="1">
      <c r="A260" s="5"/>
      <c r="B260" s="22"/>
      <c r="C260" s="22"/>
      <c r="D260" s="5"/>
      <c r="E260" s="5"/>
      <c r="F260" s="22"/>
      <c r="G260" s="5"/>
      <c r="H260" s="5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5"/>
      <c r="V260" s="5"/>
      <c r="W260" s="5"/>
      <c r="X260" s="5"/>
      <c r="Y260" s="5"/>
      <c r="Z260" s="5"/>
    </row>
    <row r="261" spans="1:26" ht="14.25" customHeight="1">
      <c r="A261" s="5"/>
      <c r="B261" s="22"/>
      <c r="C261" s="22"/>
      <c r="D261" s="5"/>
      <c r="E261" s="5"/>
      <c r="F261" s="22"/>
      <c r="G261" s="5"/>
      <c r="H261" s="5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5"/>
      <c r="V261" s="5"/>
      <c r="W261" s="5"/>
      <c r="X261" s="5"/>
      <c r="Y261" s="5"/>
      <c r="Z261" s="5"/>
    </row>
    <row r="262" spans="1:26" ht="14.25" customHeight="1">
      <c r="A262" s="5"/>
      <c r="B262" s="22"/>
      <c r="C262" s="22"/>
      <c r="D262" s="5"/>
      <c r="E262" s="5"/>
      <c r="F262" s="22"/>
      <c r="G262" s="5"/>
      <c r="H262" s="5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5"/>
      <c r="V262" s="5"/>
      <c r="W262" s="5"/>
      <c r="X262" s="5"/>
      <c r="Y262" s="5"/>
      <c r="Z262" s="5"/>
    </row>
    <row r="263" spans="1:26" ht="14.25" customHeight="1">
      <c r="A263" s="5"/>
      <c r="B263" s="22"/>
      <c r="C263" s="22"/>
      <c r="D263" s="5"/>
      <c r="E263" s="5"/>
      <c r="F263" s="22"/>
      <c r="G263" s="5"/>
      <c r="H263" s="5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5"/>
      <c r="V263" s="5"/>
      <c r="W263" s="5"/>
      <c r="X263" s="5"/>
      <c r="Y263" s="5"/>
      <c r="Z263" s="5"/>
    </row>
    <row r="264" spans="1:26" ht="14.25" customHeight="1">
      <c r="A264" s="5"/>
      <c r="B264" s="22"/>
      <c r="C264" s="22"/>
      <c r="D264" s="5"/>
      <c r="E264" s="5"/>
      <c r="F264" s="22"/>
      <c r="G264" s="5"/>
      <c r="H264" s="5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5"/>
      <c r="V264" s="5"/>
      <c r="W264" s="5"/>
      <c r="X264" s="5"/>
      <c r="Y264" s="5"/>
      <c r="Z264" s="5"/>
    </row>
    <row r="265" spans="1:26" ht="14.25" customHeight="1">
      <c r="A265" s="5"/>
      <c r="B265" s="22"/>
      <c r="C265" s="22"/>
      <c r="D265" s="5"/>
      <c r="E265" s="5"/>
      <c r="F265" s="22"/>
      <c r="G265" s="5"/>
      <c r="H265" s="5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5"/>
      <c r="V265" s="5"/>
      <c r="W265" s="5"/>
      <c r="X265" s="5"/>
      <c r="Y265" s="5"/>
      <c r="Z265" s="5"/>
    </row>
    <row r="266" spans="1:26" ht="14.25" customHeight="1">
      <c r="A266" s="5"/>
      <c r="B266" s="22"/>
      <c r="C266" s="22"/>
      <c r="D266" s="5"/>
      <c r="E266" s="5"/>
      <c r="F266" s="22"/>
      <c r="G266" s="5"/>
      <c r="H266" s="5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5"/>
      <c r="V266" s="5"/>
      <c r="W266" s="5"/>
      <c r="X266" s="5"/>
      <c r="Y266" s="5"/>
      <c r="Z266" s="5"/>
    </row>
    <row r="267" spans="1:26" ht="14.25" customHeight="1">
      <c r="A267" s="5"/>
      <c r="B267" s="22"/>
      <c r="C267" s="22"/>
      <c r="D267" s="5"/>
      <c r="E267" s="5"/>
      <c r="F267" s="22"/>
      <c r="G267" s="5"/>
      <c r="H267" s="5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5"/>
      <c r="V267" s="5"/>
      <c r="W267" s="5"/>
      <c r="X267" s="5"/>
      <c r="Y267" s="5"/>
      <c r="Z267" s="5"/>
    </row>
    <row r="268" spans="1:26" ht="14.25" customHeight="1">
      <c r="A268" s="5"/>
      <c r="B268" s="22"/>
      <c r="C268" s="22"/>
      <c r="D268" s="5"/>
      <c r="E268" s="5"/>
      <c r="F268" s="22"/>
      <c r="G268" s="5"/>
      <c r="H268" s="5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5"/>
      <c r="V268" s="5"/>
      <c r="W268" s="5"/>
      <c r="X268" s="5"/>
      <c r="Y268" s="5"/>
      <c r="Z268" s="5"/>
    </row>
    <row r="269" spans="1:26" ht="14.25" customHeight="1">
      <c r="A269" s="5"/>
      <c r="B269" s="22"/>
      <c r="C269" s="22"/>
      <c r="D269" s="5"/>
      <c r="E269" s="5"/>
      <c r="F269" s="22"/>
      <c r="G269" s="5"/>
      <c r="H269" s="5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5"/>
      <c r="V269" s="5"/>
      <c r="W269" s="5"/>
      <c r="X269" s="5"/>
      <c r="Y269" s="5"/>
      <c r="Z269" s="5"/>
    </row>
    <row r="270" spans="1:26" ht="14.25" customHeight="1">
      <c r="A270" s="5"/>
      <c r="B270" s="22"/>
      <c r="C270" s="22"/>
      <c r="D270" s="5"/>
      <c r="E270" s="5"/>
      <c r="F270" s="22"/>
      <c r="G270" s="5"/>
      <c r="H270" s="5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5"/>
      <c r="V270" s="5"/>
      <c r="W270" s="5"/>
      <c r="X270" s="5"/>
      <c r="Y270" s="5"/>
      <c r="Z270" s="5"/>
    </row>
    <row r="271" spans="1:26" ht="14.25" customHeight="1">
      <c r="A271" s="5"/>
      <c r="B271" s="22"/>
      <c r="C271" s="22"/>
      <c r="D271" s="5"/>
      <c r="E271" s="5"/>
      <c r="F271" s="22"/>
      <c r="G271" s="5"/>
      <c r="H271" s="5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5"/>
      <c r="V271" s="5"/>
      <c r="W271" s="5"/>
      <c r="X271" s="5"/>
      <c r="Y271" s="5"/>
      <c r="Z271" s="5"/>
    </row>
    <row r="272" spans="1:26" ht="14.25" customHeight="1">
      <c r="A272" s="5"/>
      <c r="B272" s="22"/>
      <c r="C272" s="22"/>
      <c r="D272" s="5"/>
      <c r="E272" s="5"/>
      <c r="F272" s="22"/>
      <c r="G272" s="5"/>
      <c r="H272" s="5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5"/>
      <c r="V272" s="5"/>
      <c r="W272" s="5"/>
      <c r="X272" s="5"/>
      <c r="Y272" s="5"/>
      <c r="Z272" s="5"/>
    </row>
    <row r="273" spans="1:26" ht="14.25" customHeight="1">
      <c r="A273" s="5"/>
      <c r="B273" s="22"/>
      <c r="C273" s="22"/>
      <c r="D273" s="5"/>
      <c r="E273" s="5"/>
      <c r="F273" s="22"/>
      <c r="G273" s="5"/>
      <c r="H273" s="5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5"/>
      <c r="V273" s="5"/>
      <c r="W273" s="5"/>
      <c r="X273" s="5"/>
      <c r="Y273" s="5"/>
      <c r="Z273" s="5"/>
    </row>
    <row r="274" spans="1:26" ht="14.25" customHeight="1">
      <c r="A274" s="5"/>
      <c r="B274" s="22"/>
      <c r="C274" s="22"/>
      <c r="D274" s="5"/>
      <c r="E274" s="5"/>
      <c r="F274" s="22"/>
      <c r="G274" s="5"/>
      <c r="H274" s="5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5"/>
      <c r="V274" s="5"/>
      <c r="W274" s="5"/>
      <c r="X274" s="5"/>
      <c r="Y274" s="5"/>
      <c r="Z274" s="5"/>
    </row>
    <row r="275" spans="1:26" ht="14.25" customHeight="1">
      <c r="A275" s="5"/>
      <c r="B275" s="22"/>
      <c r="C275" s="22"/>
      <c r="D275" s="5"/>
      <c r="E275" s="5"/>
      <c r="F275" s="22"/>
      <c r="G275" s="5"/>
      <c r="H275" s="5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5"/>
      <c r="V275" s="5"/>
      <c r="W275" s="5"/>
      <c r="X275" s="5"/>
      <c r="Y275" s="5"/>
      <c r="Z275" s="5"/>
    </row>
    <row r="276" spans="1:26" ht="14.25" customHeight="1">
      <c r="A276" s="5"/>
      <c r="B276" s="22"/>
      <c r="C276" s="22"/>
      <c r="D276" s="5"/>
      <c r="E276" s="5"/>
      <c r="F276" s="22"/>
      <c r="G276" s="5"/>
      <c r="H276" s="5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5"/>
      <c r="V276" s="5"/>
      <c r="W276" s="5"/>
      <c r="X276" s="5"/>
      <c r="Y276" s="5"/>
      <c r="Z276" s="5"/>
    </row>
    <row r="277" spans="1:26" ht="14.25" customHeight="1">
      <c r="A277" s="5"/>
      <c r="B277" s="22"/>
      <c r="C277" s="22"/>
      <c r="D277" s="5"/>
      <c r="E277" s="5"/>
      <c r="F277" s="22"/>
      <c r="G277" s="5"/>
      <c r="H277" s="5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5"/>
      <c r="V277" s="5"/>
      <c r="W277" s="5"/>
      <c r="X277" s="5"/>
      <c r="Y277" s="5"/>
      <c r="Z277" s="5"/>
    </row>
    <row r="278" spans="1:26" ht="14.25" customHeight="1">
      <c r="A278" s="5"/>
      <c r="B278" s="22"/>
      <c r="C278" s="22"/>
      <c r="D278" s="5"/>
      <c r="E278" s="5"/>
      <c r="F278" s="22"/>
      <c r="G278" s="5"/>
      <c r="H278" s="5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5"/>
      <c r="V278" s="5"/>
      <c r="W278" s="5"/>
      <c r="X278" s="5"/>
      <c r="Y278" s="5"/>
      <c r="Z278" s="5"/>
    </row>
    <row r="279" spans="1:26" ht="14.25" customHeight="1">
      <c r="A279" s="5"/>
      <c r="B279" s="22"/>
      <c r="C279" s="22"/>
      <c r="D279" s="5"/>
      <c r="E279" s="5"/>
      <c r="F279" s="22"/>
      <c r="G279" s="5"/>
      <c r="H279" s="5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5"/>
      <c r="V279" s="5"/>
      <c r="W279" s="5"/>
      <c r="X279" s="5"/>
      <c r="Y279" s="5"/>
      <c r="Z279" s="5"/>
    </row>
    <row r="280" spans="1:26" ht="14.25" customHeight="1">
      <c r="A280" s="5"/>
      <c r="B280" s="22"/>
      <c r="C280" s="22"/>
      <c r="D280" s="5"/>
      <c r="E280" s="5"/>
      <c r="F280" s="22"/>
      <c r="G280" s="5"/>
      <c r="H280" s="5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5"/>
      <c r="V280" s="5"/>
      <c r="W280" s="5"/>
      <c r="X280" s="5"/>
      <c r="Y280" s="5"/>
      <c r="Z280" s="5"/>
    </row>
    <row r="281" spans="1:26" ht="14.25" customHeight="1">
      <c r="A281" s="5"/>
      <c r="B281" s="22"/>
      <c r="C281" s="22"/>
      <c r="D281" s="5"/>
      <c r="E281" s="5"/>
      <c r="F281" s="22"/>
      <c r="G281" s="5"/>
      <c r="H281" s="5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5"/>
      <c r="V281" s="5"/>
      <c r="W281" s="5"/>
      <c r="X281" s="5"/>
      <c r="Y281" s="5"/>
      <c r="Z281" s="5"/>
    </row>
    <row r="282" spans="1:26" ht="14.25" customHeight="1">
      <c r="A282" s="5"/>
      <c r="B282" s="22"/>
      <c r="C282" s="22"/>
      <c r="D282" s="5"/>
      <c r="E282" s="5"/>
      <c r="F282" s="22"/>
      <c r="G282" s="5"/>
      <c r="H282" s="5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5"/>
      <c r="V282" s="5"/>
      <c r="W282" s="5"/>
      <c r="X282" s="5"/>
      <c r="Y282" s="5"/>
      <c r="Z282" s="5"/>
    </row>
    <row r="283" spans="1:26" ht="14.25" customHeight="1">
      <c r="A283" s="5"/>
      <c r="B283" s="22"/>
      <c r="C283" s="22"/>
      <c r="D283" s="5"/>
      <c r="E283" s="5"/>
      <c r="F283" s="22"/>
      <c r="G283" s="5"/>
      <c r="H283" s="5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5"/>
      <c r="V283" s="5"/>
      <c r="W283" s="5"/>
      <c r="X283" s="5"/>
      <c r="Y283" s="5"/>
      <c r="Z283" s="5"/>
    </row>
    <row r="284" spans="1:26" ht="14.25" customHeight="1">
      <c r="A284" s="5"/>
      <c r="B284" s="22"/>
      <c r="C284" s="22"/>
      <c r="D284" s="5"/>
      <c r="E284" s="5"/>
      <c r="F284" s="22"/>
      <c r="G284" s="5"/>
      <c r="H284" s="5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5"/>
      <c r="V284" s="5"/>
      <c r="W284" s="5"/>
      <c r="X284" s="5"/>
      <c r="Y284" s="5"/>
      <c r="Z284" s="5"/>
    </row>
    <row r="285" spans="1:26" ht="14.25" customHeight="1">
      <c r="A285" s="5"/>
      <c r="B285" s="22"/>
      <c r="C285" s="22"/>
      <c r="D285" s="5"/>
      <c r="E285" s="5"/>
      <c r="F285" s="22"/>
      <c r="G285" s="5"/>
      <c r="H285" s="5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5"/>
      <c r="V285" s="5"/>
      <c r="W285" s="5"/>
      <c r="X285" s="5"/>
      <c r="Y285" s="5"/>
      <c r="Z285" s="5"/>
    </row>
    <row r="286" spans="1:26" ht="14.25" customHeight="1">
      <c r="A286" s="5"/>
      <c r="B286" s="22"/>
      <c r="C286" s="22"/>
      <c r="D286" s="5"/>
      <c r="E286" s="5"/>
      <c r="F286" s="22"/>
      <c r="G286" s="5"/>
      <c r="H286" s="5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5"/>
      <c r="V286" s="5"/>
      <c r="W286" s="5"/>
      <c r="X286" s="5"/>
      <c r="Y286" s="5"/>
      <c r="Z286" s="5"/>
    </row>
    <row r="287" spans="1:26" ht="14.25" customHeight="1">
      <c r="A287" s="5"/>
      <c r="B287" s="22"/>
      <c r="C287" s="22"/>
      <c r="D287" s="5"/>
      <c r="E287" s="5"/>
      <c r="F287" s="22"/>
      <c r="G287" s="5"/>
      <c r="H287" s="5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5"/>
      <c r="V287" s="5"/>
      <c r="W287" s="5"/>
      <c r="X287" s="5"/>
      <c r="Y287" s="5"/>
      <c r="Z287" s="5"/>
    </row>
    <row r="288" spans="1:26" ht="14.25" customHeight="1">
      <c r="A288" s="5"/>
      <c r="B288" s="22"/>
      <c r="C288" s="22"/>
      <c r="D288" s="5"/>
      <c r="E288" s="5"/>
      <c r="F288" s="22"/>
      <c r="G288" s="5"/>
      <c r="H288" s="5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5"/>
      <c r="V288" s="5"/>
      <c r="W288" s="5"/>
      <c r="X288" s="5"/>
      <c r="Y288" s="5"/>
      <c r="Z288" s="5"/>
    </row>
    <row r="289" spans="1:26" ht="14.25" customHeight="1">
      <c r="A289" s="5"/>
      <c r="B289" s="22"/>
      <c r="C289" s="22"/>
      <c r="D289" s="5"/>
      <c r="E289" s="5"/>
      <c r="F289" s="22"/>
      <c r="G289" s="5"/>
      <c r="H289" s="5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5"/>
      <c r="V289" s="5"/>
      <c r="W289" s="5"/>
      <c r="X289" s="5"/>
      <c r="Y289" s="5"/>
      <c r="Z289" s="5"/>
    </row>
    <row r="290" spans="1:26" ht="14.25" customHeight="1">
      <c r="A290" s="5"/>
      <c r="B290" s="22"/>
      <c r="C290" s="22"/>
      <c r="D290" s="5"/>
      <c r="E290" s="5"/>
      <c r="F290" s="22"/>
      <c r="G290" s="5"/>
      <c r="H290" s="5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5"/>
      <c r="V290" s="5"/>
      <c r="W290" s="5"/>
      <c r="X290" s="5"/>
      <c r="Y290" s="5"/>
      <c r="Z290" s="5"/>
    </row>
    <row r="291" spans="1:26" ht="14.25" customHeight="1">
      <c r="A291" s="5"/>
      <c r="B291" s="22"/>
      <c r="C291" s="22"/>
      <c r="D291" s="5"/>
      <c r="E291" s="5"/>
      <c r="F291" s="22"/>
      <c r="G291" s="5"/>
      <c r="H291" s="5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5"/>
      <c r="V291" s="5"/>
      <c r="W291" s="5"/>
      <c r="X291" s="5"/>
      <c r="Y291" s="5"/>
      <c r="Z291" s="5"/>
    </row>
    <row r="292" spans="1:26" ht="14.25" customHeight="1">
      <c r="A292" s="5"/>
      <c r="B292" s="22"/>
      <c r="C292" s="22"/>
      <c r="D292" s="5"/>
      <c r="E292" s="5"/>
      <c r="F292" s="22"/>
      <c r="G292" s="5"/>
      <c r="H292" s="5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5"/>
      <c r="V292" s="5"/>
      <c r="W292" s="5"/>
      <c r="X292" s="5"/>
      <c r="Y292" s="5"/>
      <c r="Z292" s="5"/>
    </row>
    <row r="293" spans="1:26" ht="14.25" customHeight="1">
      <c r="A293" s="5"/>
      <c r="B293" s="22"/>
      <c r="C293" s="22"/>
      <c r="D293" s="5"/>
      <c r="E293" s="5"/>
      <c r="F293" s="22"/>
      <c r="G293" s="5"/>
      <c r="H293" s="5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5"/>
      <c r="V293" s="5"/>
      <c r="W293" s="5"/>
      <c r="X293" s="5"/>
      <c r="Y293" s="5"/>
      <c r="Z293" s="5"/>
    </row>
    <row r="294" spans="1:26" ht="14.25" customHeight="1">
      <c r="A294" s="5"/>
      <c r="B294" s="22"/>
      <c r="C294" s="22"/>
      <c r="D294" s="5"/>
      <c r="E294" s="5"/>
      <c r="F294" s="22"/>
      <c r="G294" s="5"/>
      <c r="H294" s="5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5"/>
      <c r="V294" s="5"/>
      <c r="W294" s="5"/>
      <c r="X294" s="5"/>
      <c r="Y294" s="5"/>
      <c r="Z294" s="5"/>
    </row>
    <row r="295" spans="1:26" ht="14.25" customHeight="1">
      <c r="A295" s="5"/>
      <c r="B295" s="22"/>
      <c r="C295" s="22"/>
      <c r="D295" s="5"/>
      <c r="E295" s="5"/>
      <c r="F295" s="22"/>
      <c r="G295" s="5"/>
      <c r="H295" s="5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5"/>
      <c r="V295" s="5"/>
      <c r="W295" s="5"/>
      <c r="X295" s="5"/>
      <c r="Y295" s="5"/>
      <c r="Z295" s="5"/>
    </row>
    <row r="296" spans="1:26" ht="14.25" customHeight="1">
      <c r="A296" s="5"/>
      <c r="B296" s="22"/>
      <c r="C296" s="22"/>
      <c r="D296" s="5"/>
      <c r="E296" s="5"/>
      <c r="F296" s="22"/>
      <c r="G296" s="5"/>
      <c r="H296" s="5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5"/>
      <c r="V296" s="5"/>
      <c r="W296" s="5"/>
      <c r="X296" s="5"/>
      <c r="Y296" s="5"/>
      <c r="Z296" s="5"/>
    </row>
    <row r="297" spans="1:26" ht="14.25" customHeight="1">
      <c r="A297" s="5"/>
      <c r="B297" s="22"/>
      <c r="C297" s="22"/>
      <c r="D297" s="5"/>
      <c r="E297" s="5"/>
      <c r="F297" s="22"/>
      <c r="G297" s="5"/>
      <c r="H297" s="5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5"/>
      <c r="V297" s="5"/>
      <c r="W297" s="5"/>
      <c r="X297" s="5"/>
      <c r="Y297" s="5"/>
      <c r="Z297" s="5"/>
    </row>
    <row r="298" spans="1:26" ht="14.25" customHeight="1">
      <c r="A298" s="5"/>
      <c r="B298" s="22"/>
      <c r="C298" s="22"/>
      <c r="D298" s="5"/>
      <c r="E298" s="5"/>
      <c r="F298" s="22"/>
      <c r="G298" s="5"/>
      <c r="H298" s="5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5"/>
      <c r="V298" s="5"/>
      <c r="W298" s="5"/>
      <c r="X298" s="5"/>
      <c r="Y298" s="5"/>
      <c r="Z298" s="5"/>
    </row>
    <row r="299" spans="1:26" ht="14.25" customHeight="1">
      <c r="A299" s="5"/>
      <c r="B299" s="22"/>
      <c r="C299" s="22"/>
      <c r="D299" s="5"/>
      <c r="E299" s="5"/>
      <c r="F299" s="22"/>
      <c r="G299" s="5"/>
      <c r="H299" s="5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5"/>
      <c r="V299" s="5"/>
      <c r="W299" s="5"/>
      <c r="X299" s="5"/>
      <c r="Y299" s="5"/>
      <c r="Z299" s="5"/>
    </row>
    <row r="300" spans="1:26" ht="14.25" customHeight="1">
      <c r="A300" s="5"/>
      <c r="B300" s="22"/>
      <c r="C300" s="22"/>
      <c r="D300" s="5"/>
      <c r="E300" s="5"/>
      <c r="F300" s="22"/>
      <c r="G300" s="5"/>
      <c r="H300" s="5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5"/>
      <c r="V300" s="5"/>
      <c r="W300" s="5"/>
      <c r="X300" s="5"/>
      <c r="Y300" s="5"/>
      <c r="Z300" s="5"/>
    </row>
    <row r="301" spans="1:26" ht="14.25" customHeight="1">
      <c r="A301" s="5"/>
      <c r="B301" s="22"/>
      <c r="C301" s="22"/>
      <c r="D301" s="5"/>
      <c r="E301" s="5"/>
      <c r="F301" s="22"/>
      <c r="G301" s="5"/>
      <c r="H301" s="5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5"/>
      <c r="V301" s="5"/>
      <c r="W301" s="5"/>
      <c r="X301" s="5"/>
      <c r="Y301" s="5"/>
      <c r="Z301" s="5"/>
    </row>
    <row r="302" spans="1:26" ht="14.25" customHeight="1">
      <c r="A302" s="5"/>
      <c r="B302" s="22"/>
      <c r="C302" s="22"/>
      <c r="D302" s="5"/>
      <c r="E302" s="5"/>
      <c r="F302" s="22"/>
      <c r="G302" s="5"/>
      <c r="H302" s="5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5"/>
      <c r="V302" s="5"/>
      <c r="W302" s="5"/>
      <c r="X302" s="5"/>
      <c r="Y302" s="5"/>
      <c r="Z302" s="5"/>
    </row>
    <row r="303" spans="1:26" ht="14.25" customHeight="1">
      <c r="A303" s="5"/>
      <c r="B303" s="22"/>
      <c r="C303" s="22"/>
      <c r="D303" s="5"/>
      <c r="E303" s="5"/>
      <c r="F303" s="22"/>
      <c r="G303" s="5"/>
      <c r="H303" s="5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5"/>
      <c r="V303" s="5"/>
      <c r="W303" s="5"/>
      <c r="X303" s="5"/>
      <c r="Y303" s="5"/>
      <c r="Z303" s="5"/>
    </row>
    <row r="304" spans="1:26" ht="14.25" customHeight="1">
      <c r="A304" s="5"/>
      <c r="B304" s="22"/>
      <c r="C304" s="22"/>
      <c r="D304" s="5"/>
      <c r="E304" s="5"/>
      <c r="F304" s="22"/>
      <c r="G304" s="5"/>
      <c r="H304" s="5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5"/>
      <c r="V304" s="5"/>
      <c r="W304" s="5"/>
      <c r="X304" s="5"/>
      <c r="Y304" s="5"/>
      <c r="Z304" s="5"/>
    </row>
    <row r="305" spans="1:26" ht="14.25" customHeight="1">
      <c r="A305" s="5"/>
      <c r="B305" s="22"/>
      <c r="C305" s="22"/>
      <c r="D305" s="5"/>
      <c r="E305" s="5"/>
      <c r="F305" s="22"/>
      <c r="G305" s="5"/>
      <c r="H305" s="5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5"/>
      <c r="V305" s="5"/>
      <c r="W305" s="5"/>
      <c r="X305" s="5"/>
      <c r="Y305" s="5"/>
      <c r="Z305" s="5"/>
    </row>
    <row r="306" spans="1:26" ht="14.25" customHeight="1">
      <c r="A306" s="5"/>
      <c r="B306" s="22"/>
      <c r="C306" s="22"/>
      <c r="D306" s="5"/>
      <c r="E306" s="5"/>
      <c r="F306" s="22"/>
      <c r="G306" s="5"/>
      <c r="H306" s="5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5"/>
      <c r="V306" s="5"/>
      <c r="W306" s="5"/>
      <c r="X306" s="5"/>
      <c r="Y306" s="5"/>
      <c r="Z306" s="5"/>
    </row>
    <row r="307" spans="1:26" ht="14.25" customHeight="1">
      <c r="A307" s="5"/>
      <c r="B307" s="22"/>
      <c r="C307" s="22"/>
      <c r="D307" s="5"/>
      <c r="E307" s="5"/>
      <c r="F307" s="22"/>
      <c r="G307" s="5"/>
      <c r="H307" s="5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5"/>
      <c r="V307" s="5"/>
      <c r="W307" s="5"/>
      <c r="X307" s="5"/>
      <c r="Y307" s="5"/>
      <c r="Z307" s="5"/>
    </row>
    <row r="308" spans="1:26" ht="14.25" customHeight="1">
      <c r="A308" s="5"/>
      <c r="B308" s="22"/>
      <c r="C308" s="22"/>
      <c r="D308" s="5"/>
      <c r="E308" s="5"/>
      <c r="F308" s="22"/>
      <c r="G308" s="5"/>
      <c r="H308" s="5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5"/>
      <c r="V308" s="5"/>
      <c r="W308" s="5"/>
      <c r="X308" s="5"/>
      <c r="Y308" s="5"/>
      <c r="Z308" s="5"/>
    </row>
    <row r="309" spans="1:26" ht="14.25" customHeight="1">
      <c r="A309" s="5"/>
      <c r="B309" s="22"/>
      <c r="C309" s="22"/>
      <c r="D309" s="5"/>
      <c r="E309" s="5"/>
      <c r="F309" s="22"/>
      <c r="G309" s="5"/>
      <c r="H309" s="5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5"/>
      <c r="V309" s="5"/>
      <c r="W309" s="5"/>
      <c r="X309" s="5"/>
      <c r="Y309" s="5"/>
      <c r="Z309" s="5"/>
    </row>
    <row r="310" spans="1:26" ht="14.25" customHeight="1">
      <c r="A310" s="5"/>
      <c r="B310" s="22"/>
      <c r="C310" s="22"/>
      <c r="D310" s="5"/>
      <c r="E310" s="5"/>
      <c r="F310" s="22"/>
      <c r="G310" s="5"/>
      <c r="H310" s="5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5"/>
      <c r="V310" s="5"/>
      <c r="W310" s="5"/>
      <c r="X310" s="5"/>
      <c r="Y310" s="5"/>
      <c r="Z310" s="5"/>
    </row>
    <row r="311" spans="1:26" ht="14.25" customHeight="1">
      <c r="A311" s="5"/>
      <c r="B311" s="22"/>
      <c r="C311" s="22"/>
      <c r="D311" s="5"/>
      <c r="E311" s="5"/>
      <c r="F311" s="22"/>
      <c r="G311" s="5"/>
      <c r="H311" s="5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5"/>
      <c r="V311" s="5"/>
      <c r="W311" s="5"/>
      <c r="X311" s="5"/>
      <c r="Y311" s="5"/>
      <c r="Z311" s="5"/>
    </row>
    <row r="312" spans="1:26" ht="14.25" customHeight="1">
      <c r="A312" s="5"/>
      <c r="B312" s="22"/>
      <c r="C312" s="22"/>
      <c r="D312" s="5"/>
      <c r="E312" s="5"/>
      <c r="F312" s="22"/>
      <c r="G312" s="5"/>
      <c r="H312" s="5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5"/>
      <c r="V312" s="5"/>
      <c r="W312" s="5"/>
      <c r="X312" s="5"/>
      <c r="Y312" s="5"/>
      <c r="Z312" s="5"/>
    </row>
    <row r="313" spans="1:26" ht="14.25" customHeight="1">
      <c r="A313" s="5"/>
      <c r="B313" s="22"/>
      <c r="C313" s="22"/>
      <c r="D313" s="5"/>
      <c r="E313" s="5"/>
      <c r="F313" s="22"/>
      <c r="G313" s="5"/>
      <c r="H313" s="5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5"/>
      <c r="V313" s="5"/>
      <c r="W313" s="5"/>
      <c r="X313" s="5"/>
      <c r="Y313" s="5"/>
      <c r="Z313" s="5"/>
    </row>
    <row r="314" spans="1:26" ht="14.25" customHeight="1">
      <c r="A314" s="5"/>
      <c r="B314" s="22"/>
      <c r="C314" s="22"/>
      <c r="D314" s="5"/>
      <c r="E314" s="5"/>
      <c r="F314" s="22"/>
      <c r="G314" s="5"/>
      <c r="H314" s="5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5"/>
      <c r="V314" s="5"/>
      <c r="W314" s="5"/>
      <c r="X314" s="5"/>
      <c r="Y314" s="5"/>
      <c r="Z314" s="5"/>
    </row>
    <row r="315" spans="1:26" ht="14.25" customHeight="1">
      <c r="A315" s="5"/>
      <c r="B315" s="22"/>
      <c r="C315" s="22"/>
      <c r="D315" s="5"/>
      <c r="E315" s="5"/>
      <c r="F315" s="22"/>
      <c r="G315" s="5"/>
      <c r="H315" s="5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5"/>
      <c r="V315" s="5"/>
      <c r="W315" s="5"/>
      <c r="X315" s="5"/>
      <c r="Y315" s="5"/>
      <c r="Z315" s="5"/>
    </row>
    <row r="316" spans="1:26" ht="14.25" customHeight="1">
      <c r="A316" s="5"/>
      <c r="B316" s="22"/>
      <c r="C316" s="22"/>
      <c r="D316" s="5"/>
      <c r="E316" s="5"/>
      <c r="F316" s="22"/>
      <c r="G316" s="5"/>
      <c r="H316" s="5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5"/>
      <c r="V316" s="5"/>
      <c r="W316" s="5"/>
      <c r="X316" s="5"/>
      <c r="Y316" s="5"/>
      <c r="Z316" s="5"/>
    </row>
    <row r="317" spans="1:26" ht="14.25" customHeight="1">
      <c r="A317" s="5"/>
      <c r="B317" s="22"/>
      <c r="C317" s="22"/>
      <c r="D317" s="5"/>
      <c r="E317" s="5"/>
      <c r="F317" s="22"/>
      <c r="G317" s="5"/>
      <c r="H317" s="5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5"/>
      <c r="V317" s="5"/>
      <c r="W317" s="5"/>
      <c r="X317" s="5"/>
      <c r="Y317" s="5"/>
      <c r="Z317" s="5"/>
    </row>
    <row r="318" spans="1:26" ht="14.25" customHeight="1">
      <c r="A318" s="5"/>
      <c r="B318" s="22"/>
      <c r="C318" s="22"/>
      <c r="D318" s="5"/>
      <c r="E318" s="5"/>
      <c r="F318" s="22"/>
      <c r="G318" s="5"/>
      <c r="H318" s="5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5"/>
      <c r="V318" s="5"/>
      <c r="W318" s="5"/>
      <c r="X318" s="5"/>
      <c r="Y318" s="5"/>
      <c r="Z318" s="5"/>
    </row>
    <row r="319" spans="1:26" ht="14.25" customHeight="1">
      <c r="A319" s="5"/>
      <c r="B319" s="22"/>
      <c r="C319" s="22"/>
      <c r="D319" s="5"/>
      <c r="E319" s="5"/>
      <c r="F319" s="22"/>
      <c r="G319" s="5"/>
      <c r="H319" s="5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5"/>
      <c r="V319" s="5"/>
      <c r="W319" s="5"/>
      <c r="X319" s="5"/>
      <c r="Y319" s="5"/>
      <c r="Z319" s="5"/>
    </row>
    <row r="320" spans="1:26" ht="14.25" customHeight="1">
      <c r="A320" s="5"/>
      <c r="B320" s="22"/>
      <c r="C320" s="22"/>
      <c r="D320" s="5"/>
      <c r="E320" s="5"/>
      <c r="F320" s="22"/>
      <c r="G320" s="5"/>
      <c r="H320" s="5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5"/>
      <c r="V320" s="5"/>
      <c r="W320" s="5"/>
      <c r="X320" s="5"/>
      <c r="Y320" s="5"/>
      <c r="Z320" s="5"/>
    </row>
    <row r="321" spans="1:26" ht="14.25" customHeight="1">
      <c r="A321" s="5"/>
      <c r="B321" s="22"/>
      <c r="C321" s="22"/>
      <c r="D321" s="5"/>
      <c r="E321" s="5"/>
      <c r="F321" s="22"/>
      <c r="G321" s="5"/>
      <c r="H321" s="5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5"/>
      <c r="V321" s="5"/>
      <c r="W321" s="5"/>
      <c r="X321" s="5"/>
      <c r="Y321" s="5"/>
      <c r="Z321" s="5"/>
    </row>
    <row r="322" spans="1:26" ht="14.25" customHeight="1">
      <c r="A322" s="5"/>
      <c r="B322" s="22"/>
      <c r="C322" s="22"/>
      <c r="D322" s="5"/>
      <c r="E322" s="5"/>
      <c r="F322" s="22"/>
      <c r="G322" s="5"/>
      <c r="H322" s="5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5"/>
      <c r="V322" s="5"/>
      <c r="W322" s="5"/>
      <c r="X322" s="5"/>
      <c r="Y322" s="5"/>
      <c r="Z322" s="5"/>
    </row>
    <row r="323" spans="1:26" ht="14.25" customHeight="1">
      <c r="A323" s="5"/>
      <c r="B323" s="22"/>
      <c r="C323" s="22"/>
      <c r="D323" s="5"/>
      <c r="E323" s="5"/>
      <c r="F323" s="22"/>
      <c r="G323" s="5"/>
      <c r="H323" s="5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5"/>
      <c r="V323" s="5"/>
      <c r="W323" s="5"/>
      <c r="X323" s="5"/>
      <c r="Y323" s="5"/>
      <c r="Z323" s="5"/>
    </row>
    <row r="324" spans="1:26" ht="14.25" customHeight="1">
      <c r="A324" s="5"/>
      <c r="B324" s="22"/>
      <c r="C324" s="22"/>
      <c r="D324" s="5"/>
      <c r="E324" s="5"/>
      <c r="F324" s="22"/>
      <c r="G324" s="5"/>
      <c r="H324" s="5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5"/>
      <c r="V324" s="5"/>
      <c r="W324" s="5"/>
      <c r="X324" s="5"/>
      <c r="Y324" s="5"/>
      <c r="Z324" s="5"/>
    </row>
    <row r="325" spans="1:26" ht="14.25" customHeight="1">
      <c r="A325" s="5"/>
      <c r="B325" s="22"/>
      <c r="C325" s="22"/>
      <c r="D325" s="5"/>
      <c r="E325" s="5"/>
      <c r="F325" s="22"/>
      <c r="G325" s="5"/>
      <c r="H325" s="5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5"/>
      <c r="V325" s="5"/>
      <c r="W325" s="5"/>
      <c r="X325" s="5"/>
      <c r="Y325" s="5"/>
      <c r="Z325" s="5"/>
    </row>
    <row r="326" spans="1:26" ht="14.25" customHeight="1">
      <c r="A326" s="5"/>
      <c r="B326" s="22"/>
      <c r="C326" s="22"/>
      <c r="D326" s="5"/>
      <c r="E326" s="5"/>
      <c r="F326" s="22"/>
      <c r="G326" s="5"/>
      <c r="H326" s="5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5"/>
      <c r="V326" s="5"/>
      <c r="W326" s="5"/>
      <c r="X326" s="5"/>
      <c r="Y326" s="5"/>
      <c r="Z326" s="5"/>
    </row>
    <row r="327" spans="1:26" ht="14.25" customHeight="1">
      <c r="A327" s="5"/>
      <c r="B327" s="22"/>
      <c r="C327" s="22"/>
      <c r="D327" s="5"/>
      <c r="E327" s="5"/>
      <c r="F327" s="22"/>
      <c r="G327" s="5"/>
      <c r="H327" s="5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5"/>
      <c r="V327" s="5"/>
      <c r="W327" s="5"/>
      <c r="X327" s="5"/>
      <c r="Y327" s="5"/>
      <c r="Z327" s="5"/>
    </row>
    <row r="328" spans="1:26" ht="14.25" customHeight="1">
      <c r="A328" s="5"/>
      <c r="B328" s="22"/>
      <c r="C328" s="22"/>
      <c r="D328" s="5"/>
      <c r="E328" s="5"/>
      <c r="F328" s="22"/>
      <c r="G328" s="5"/>
      <c r="H328" s="5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5"/>
      <c r="V328" s="5"/>
      <c r="W328" s="5"/>
      <c r="X328" s="5"/>
      <c r="Y328" s="5"/>
      <c r="Z328" s="5"/>
    </row>
    <row r="329" spans="1:26" ht="14.25" customHeight="1">
      <c r="A329" s="5"/>
      <c r="B329" s="22"/>
      <c r="C329" s="22"/>
      <c r="D329" s="5"/>
      <c r="E329" s="5"/>
      <c r="F329" s="22"/>
      <c r="G329" s="5"/>
      <c r="H329" s="5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5"/>
      <c r="V329" s="5"/>
      <c r="W329" s="5"/>
      <c r="X329" s="5"/>
      <c r="Y329" s="5"/>
      <c r="Z329" s="5"/>
    </row>
    <row r="330" spans="1:26" ht="14.25" customHeight="1">
      <c r="A330" s="5"/>
      <c r="B330" s="22"/>
      <c r="C330" s="22"/>
      <c r="D330" s="5"/>
      <c r="E330" s="5"/>
      <c r="F330" s="22"/>
      <c r="G330" s="5"/>
      <c r="H330" s="5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5"/>
      <c r="V330" s="5"/>
      <c r="W330" s="5"/>
      <c r="X330" s="5"/>
      <c r="Y330" s="5"/>
      <c r="Z330" s="5"/>
    </row>
    <row r="331" spans="1:26" ht="14.25" customHeight="1">
      <c r="A331" s="5"/>
      <c r="B331" s="22"/>
      <c r="C331" s="22"/>
      <c r="D331" s="5"/>
      <c r="E331" s="5"/>
      <c r="F331" s="22"/>
      <c r="G331" s="5"/>
      <c r="H331" s="5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5"/>
      <c r="V331" s="5"/>
      <c r="W331" s="5"/>
      <c r="X331" s="5"/>
      <c r="Y331" s="5"/>
      <c r="Z331" s="5"/>
    </row>
    <row r="332" spans="1:26" ht="14.25" customHeight="1">
      <c r="A332" s="5"/>
      <c r="B332" s="22"/>
      <c r="C332" s="22"/>
      <c r="D332" s="5"/>
      <c r="E332" s="5"/>
      <c r="F332" s="22"/>
      <c r="G332" s="5"/>
      <c r="H332" s="5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5"/>
      <c r="V332" s="5"/>
      <c r="W332" s="5"/>
      <c r="X332" s="5"/>
      <c r="Y332" s="5"/>
      <c r="Z332" s="5"/>
    </row>
    <row r="333" spans="1:26" ht="14.25" customHeight="1">
      <c r="A333" s="5"/>
      <c r="B333" s="22"/>
      <c r="C333" s="22"/>
      <c r="D333" s="5"/>
      <c r="E333" s="5"/>
      <c r="F333" s="22"/>
      <c r="G333" s="5"/>
      <c r="H333" s="5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5"/>
      <c r="V333" s="5"/>
      <c r="W333" s="5"/>
      <c r="X333" s="5"/>
      <c r="Y333" s="5"/>
      <c r="Z333" s="5"/>
    </row>
    <row r="334" spans="1:26" ht="14.25" customHeight="1">
      <c r="A334" s="5"/>
      <c r="B334" s="22"/>
      <c r="C334" s="22"/>
      <c r="D334" s="5"/>
      <c r="E334" s="5"/>
      <c r="F334" s="22"/>
      <c r="G334" s="5"/>
      <c r="H334" s="5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5"/>
      <c r="V334" s="5"/>
      <c r="W334" s="5"/>
      <c r="X334" s="5"/>
      <c r="Y334" s="5"/>
      <c r="Z334" s="5"/>
    </row>
    <row r="335" spans="1:26" ht="14.25" customHeight="1">
      <c r="A335" s="5"/>
      <c r="B335" s="22"/>
      <c r="C335" s="22"/>
      <c r="D335" s="5"/>
      <c r="E335" s="5"/>
      <c r="F335" s="22"/>
      <c r="G335" s="5"/>
      <c r="H335" s="5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5"/>
      <c r="V335" s="5"/>
      <c r="W335" s="5"/>
      <c r="X335" s="5"/>
      <c r="Y335" s="5"/>
      <c r="Z335" s="5"/>
    </row>
    <row r="336" spans="1:26" ht="14.25" customHeight="1">
      <c r="A336" s="5"/>
      <c r="B336" s="22"/>
      <c r="C336" s="22"/>
      <c r="D336" s="5"/>
      <c r="E336" s="5"/>
      <c r="F336" s="22"/>
      <c r="G336" s="5"/>
      <c r="H336" s="5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5"/>
      <c r="V336" s="5"/>
      <c r="W336" s="5"/>
      <c r="X336" s="5"/>
      <c r="Y336" s="5"/>
      <c r="Z336" s="5"/>
    </row>
    <row r="337" spans="1:26" ht="14.25" customHeight="1">
      <c r="A337" s="5"/>
      <c r="B337" s="22"/>
      <c r="C337" s="22"/>
      <c r="D337" s="5"/>
      <c r="E337" s="5"/>
      <c r="F337" s="22"/>
      <c r="G337" s="5"/>
      <c r="H337" s="5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5"/>
      <c r="V337" s="5"/>
      <c r="W337" s="5"/>
      <c r="X337" s="5"/>
      <c r="Y337" s="5"/>
      <c r="Z337" s="5"/>
    </row>
    <row r="338" spans="1:26" ht="14.25" customHeight="1">
      <c r="A338" s="5"/>
      <c r="B338" s="22"/>
      <c r="C338" s="22"/>
      <c r="D338" s="5"/>
      <c r="E338" s="5"/>
      <c r="F338" s="22"/>
      <c r="G338" s="5"/>
      <c r="H338" s="5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5"/>
      <c r="V338" s="5"/>
      <c r="W338" s="5"/>
      <c r="X338" s="5"/>
      <c r="Y338" s="5"/>
      <c r="Z338" s="5"/>
    </row>
    <row r="339" spans="1:26" ht="14.25" customHeight="1">
      <c r="A339" s="5"/>
      <c r="B339" s="22"/>
      <c r="C339" s="22"/>
      <c r="D339" s="5"/>
      <c r="E339" s="5"/>
      <c r="F339" s="22"/>
      <c r="G339" s="5"/>
      <c r="H339" s="5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5"/>
      <c r="V339" s="5"/>
      <c r="W339" s="5"/>
      <c r="X339" s="5"/>
      <c r="Y339" s="5"/>
      <c r="Z339" s="5"/>
    </row>
    <row r="340" spans="1:26" ht="14.25" customHeight="1">
      <c r="A340" s="5"/>
      <c r="B340" s="22"/>
      <c r="C340" s="22"/>
      <c r="D340" s="5"/>
      <c r="E340" s="5"/>
      <c r="F340" s="22"/>
      <c r="G340" s="5"/>
      <c r="H340" s="5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5"/>
      <c r="V340" s="5"/>
      <c r="W340" s="5"/>
      <c r="X340" s="5"/>
      <c r="Y340" s="5"/>
      <c r="Z340" s="5"/>
    </row>
    <row r="341" spans="1:26" ht="14.25" customHeight="1">
      <c r="A341" s="5"/>
      <c r="B341" s="22"/>
      <c r="C341" s="22"/>
      <c r="D341" s="5"/>
      <c r="E341" s="5"/>
      <c r="F341" s="22"/>
      <c r="G341" s="5"/>
      <c r="H341" s="5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5"/>
      <c r="V341" s="5"/>
      <c r="W341" s="5"/>
      <c r="X341" s="5"/>
      <c r="Y341" s="5"/>
      <c r="Z341" s="5"/>
    </row>
    <row r="342" spans="1:26" ht="14.25" customHeight="1">
      <c r="A342" s="5"/>
      <c r="B342" s="22"/>
      <c r="C342" s="22"/>
      <c r="D342" s="5"/>
      <c r="E342" s="5"/>
      <c r="F342" s="22"/>
      <c r="G342" s="5"/>
      <c r="H342" s="5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5"/>
      <c r="V342" s="5"/>
      <c r="W342" s="5"/>
      <c r="X342" s="5"/>
      <c r="Y342" s="5"/>
      <c r="Z342" s="5"/>
    </row>
    <row r="343" spans="1:26" ht="14.25" customHeight="1">
      <c r="A343" s="5"/>
      <c r="B343" s="22"/>
      <c r="C343" s="22"/>
      <c r="D343" s="5"/>
      <c r="E343" s="5"/>
      <c r="F343" s="22"/>
      <c r="G343" s="5"/>
      <c r="H343" s="5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5"/>
      <c r="V343" s="5"/>
      <c r="W343" s="5"/>
      <c r="X343" s="5"/>
      <c r="Y343" s="5"/>
      <c r="Z343" s="5"/>
    </row>
    <row r="344" spans="1:26" ht="14.25" customHeight="1">
      <c r="A344" s="5"/>
      <c r="B344" s="22"/>
      <c r="C344" s="22"/>
      <c r="D344" s="5"/>
      <c r="E344" s="5"/>
      <c r="F344" s="22"/>
      <c r="G344" s="5"/>
      <c r="H344" s="5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5"/>
      <c r="V344" s="5"/>
      <c r="W344" s="5"/>
      <c r="X344" s="5"/>
      <c r="Y344" s="5"/>
      <c r="Z344" s="5"/>
    </row>
    <row r="345" spans="1:26" ht="14.25" customHeight="1">
      <c r="A345" s="5"/>
      <c r="B345" s="22"/>
      <c r="C345" s="22"/>
      <c r="D345" s="5"/>
      <c r="E345" s="5"/>
      <c r="F345" s="22"/>
      <c r="G345" s="5"/>
      <c r="H345" s="5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5"/>
      <c r="V345" s="5"/>
      <c r="W345" s="5"/>
      <c r="X345" s="5"/>
      <c r="Y345" s="5"/>
      <c r="Z345" s="5"/>
    </row>
    <row r="346" spans="1:26" ht="14.25" customHeight="1">
      <c r="A346" s="5"/>
      <c r="B346" s="22"/>
      <c r="C346" s="22"/>
      <c r="D346" s="5"/>
      <c r="E346" s="5"/>
      <c r="F346" s="22"/>
      <c r="G346" s="5"/>
      <c r="H346" s="5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5"/>
      <c r="V346" s="5"/>
      <c r="W346" s="5"/>
      <c r="X346" s="5"/>
      <c r="Y346" s="5"/>
      <c r="Z346" s="5"/>
    </row>
    <row r="347" spans="1:26" ht="14.25" customHeight="1">
      <c r="A347" s="5"/>
      <c r="B347" s="22"/>
      <c r="C347" s="22"/>
      <c r="D347" s="5"/>
      <c r="E347" s="5"/>
      <c r="F347" s="22"/>
      <c r="G347" s="5"/>
      <c r="H347" s="5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5"/>
      <c r="V347" s="5"/>
      <c r="W347" s="5"/>
      <c r="X347" s="5"/>
      <c r="Y347" s="5"/>
      <c r="Z347" s="5"/>
    </row>
    <row r="348" spans="1:26" ht="14.25" customHeight="1">
      <c r="A348" s="5"/>
      <c r="B348" s="22"/>
      <c r="C348" s="22"/>
      <c r="D348" s="5"/>
      <c r="E348" s="5"/>
      <c r="F348" s="22"/>
      <c r="G348" s="5"/>
      <c r="H348" s="5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5"/>
      <c r="V348" s="5"/>
      <c r="W348" s="5"/>
      <c r="X348" s="5"/>
      <c r="Y348" s="5"/>
      <c r="Z348" s="5"/>
    </row>
    <row r="349" spans="1:26" ht="14.25" customHeight="1">
      <c r="A349" s="5"/>
      <c r="B349" s="22"/>
      <c r="C349" s="22"/>
      <c r="D349" s="5"/>
      <c r="E349" s="5"/>
      <c r="F349" s="22"/>
      <c r="G349" s="5"/>
      <c r="H349" s="5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5"/>
      <c r="V349" s="5"/>
      <c r="W349" s="5"/>
      <c r="X349" s="5"/>
      <c r="Y349" s="5"/>
      <c r="Z349" s="5"/>
    </row>
    <row r="350" spans="1:26" ht="14.25" customHeight="1">
      <c r="A350" s="5"/>
      <c r="B350" s="22"/>
      <c r="C350" s="22"/>
      <c r="D350" s="5"/>
      <c r="E350" s="5"/>
      <c r="F350" s="22"/>
      <c r="G350" s="5"/>
      <c r="H350" s="5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5"/>
      <c r="V350" s="5"/>
      <c r="W350" s="5"/>
      <c r="X350" s="5"/>
      <c r="Y350" s="5"/>
      <c r="Z350" s="5"/>
    </row>
    <row r="351" spans="1:26" ht="14.25" customHeight="1">
      <c r="A351" s="5"/>
      <c r="B351" s="22"/>
      <c r="C351" s="22"/>
      <c r="D351" s="5"/>
      <c r="E351" s="5"/>
      <c r="F351" s="22"/>
      <c r="G351" s="5"/>
      <c r="H351" s="5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5"/>
      <c r="V351" s="5"/>
      <c r="W351" s="5"/>
      <c r="X351" s="5"/>
      <c r="Y351" s="5"/>
      <c r="Z351" s="5"/>
    </row>
    <row r="352" spans="1:26" ht="14.25" customHeight="1">
      <c r="A352" s="5"/>
      <c r="B352" s="22"/>
      <c r="C352" s="22"/>
      <c r="D352" s="5"/>
      <c r="E352" s="5"/>
      <c r="F352" s="22"/>
      <c r="G352" s="5"/>
      <c r="H352" s="5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5"/>
      <c r="V352" s="5"/>
      <c r="W352" s="5"/>
      <c r="X352" s="5"/>
      <c r="Y352" s="5"/>
      <c r="Z352" s="5"/>
    </row>
    <row r="353" spans="1:26" ht="14.25" customHeight="1">
      <c r="A353" s="5"/>
      <c r="B353" s="22"/>
      <c r="C353" s="22"/>
      <c r="D353" s="5"/>
      <c r="E353" s="5"/>
      <c r="F353" s="22"/>
      <c r="G353" s="5"/>
      <c r="H353" s="5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5"/>
      <c r="V353" s="5"/>
      <c r="W353" s="5"/>
      <c r="X353" s="5"/>
      <c r="Y353" s="5"/>
      <c r="Z353" s="5"/>
    </row>
    <row r="354" spans="1:26" ht="14.25" customHeight="1">
      <c r="A354" s="5"/>
      <c r="B354" s="22"/>
      <c r="C354" s="22"/>
      <c r="D354" s="5"/>
      <c r="E354" s="5"/>
      <c r="F354" s="22"/>
      <c r="G354" s="5"/>
      <c r="H354" s="5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5"/>
      <c r="V354" s="5"/>
      <c r="W354" s="5"/>
      <c r="X354" s="5"/>
      <c r="Y354" s="5"/>
      <c r="Z354" s="5"/>
    </row>
    <row r="355" spans="1:26" ht="14.25" customHeight="1">
      <c r="A355" s="5"/>
      <c r="B355" s="22"/>
      <c r="C355" s="22"/>
      <c r="D355" s="5"/>
      <c r="E355" s="5"/>
      <c r="F355" s="22"/>
      <c r="G355" s="5"/>
      <c r="H355" s="5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5"/>
      <c r="V355" s="5"/>
      <c r="W355" s="5"/>
      <c r="X355" s="5"/>
      <c r="Y355" s="5"/>
      <c r="Z355" s="5"/>
    </row>
    <row r="356" spans="1:26" ht="14.25" customHeight="1">
      <c r="A356" s="5"/>
      <c r="B356" s="22"/>
      <c r="C356" s="22"/>
      <c r="D356" s="5"/>
      <c r="E356" s="5"/>
      <c r="F356" s="22"/>
      <c r="G356" s="5"/>
      <c r="H356" s="5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5"/>
      <c r="V356" s="5"/>
      <c r="W356" s="5"/>
      <c r="X356" s="5"/>
      <c r="Y356" s="5"/>
      <c r="Z356" s="5"/>
    </row>
    <row r="357" spans="1:26" ht="14.25" customHeight="1">
      <c r="A357" s="5"/>
      <c r="B357" s="22"/>
      <c r="C357" s="22"/>
      <c r="D357" s="5"/>
      <c r="E357" s="5"/>
      <c r="F357" s="22"/>
      <c r="G357" s="5"/>
      <c r="H357" s="5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5"/>
      <c r="V357" s="5"/>
      <c r="W357" s="5"/>
      <c r="X357" s="5"/>
      <c r="Y357" s="5"/>
      <c r="Z357" s="5"/>
    </row>
    <row r="358" spans="1:26" ht="14.25" customHeight="1">
      <c r="A358" s="5"/>
      <c r="B358" s="22"/>
      <c r="C358" s="22"/>
      <c r="D358" s="5"/>
      <c r="E358" s="5"/>
      <c r="F358" s="22"/>
      <c r="G358" s="5"/>
      <c r="H358" s="5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5"/>
      <c r="V358" s="5"/>
      <c r="W358" s="5"/>
      <c r="X358" s="5"/>
      <c r="Y358" s="5"/>
      <c r="Z358" s="5"/>
    </row>
    <row r="359" spans="1:26" ht="14.25" customHeight="1">
      <c r="A359" s="5"/>
      <c r="B359" s="22"/>
      <c r="C359" s="22"/>
      <c r="D359" s="5"/>
      <c r="E359" s="5"/>
      <c r="F359" s="22"/>
      <c r="G359" s="5"/>
      <c r="H359" s="5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5"/>
      <c r="V359" s="5"/>
      <c r="W359" s="5"/>
      <c r="X359" s="5"/>
      <c r="Y359" s="5"/>
      <c r="Z359" s="5"/>
    </row>
    <row r="360" spans="1:26" ht="14.25" customHeight="1">
      <c r="A360" s="5"/>
      <c r="B360" s="22"/>
      <c r="C360" s="22"/>
      <c r="D360" s="5"/>
      <c r="E360" s="5"/>
      <c r="F360" s="22"/>
      <c r="G360" s="5"/>
      <c r="H360" s="5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5"/>
      <c r="V360" s="5"/>
      <c r="W360" s="5"/>
      <c r="X360" s="5"/>
      <c r="Y360" s="5"/>
      <c r="Z360" s="5"/>
    </row>
    <row r="361" spans="1:26" ht="14.25" customHeight="1">
      <c r="A361" s="5"/>
      <c r="B361" s="22"/>
      <c r="C361" s="22"/>
      <c r="D361" s="5"/>
      <c r="E361" s="5"/>
      <c r="F361" s="22"/>
      <c r="G361" s="5"/>
      <c r="H361" s="5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5"/>
      <c r="V361" s="5"/>
      <c r="W361" s="5"/>
      <c r="X361" s="5"/>
      <c r="Y361" s="5"/>
      <c r="Z361" s="5"/>
    </row>
    <row r="362" spans="1:26" ht="14.25" customHeight="1">
      <c r="A362" s="5"/>
      <c r="B362" s="22"/>
      <c r="C362" s="22"/>
      <c r="D362" s="5"/>
      <c r="E362" s="5"/>
      <c r="F362" s="22"/>
      <c r="G362" s="5"/>
      <c r="H362" s="5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5"/>
      <c r="V362" s="5"/>
      <c r="W362" s="5"/>
      <c r="X362" s="5"/>
      <c r="Y362" s="5"/>
      <c r="Z362" s="5"/>
    </row>
    <row r="363" spans="1:26" ht="14.25" customHeight="1">
      <c r="A363" s="5"/>
      <c r="B363" s="22"/>
      <c r="C363" s="22"/>
      <c r="D363" s="5"/>
      <c r="E363" s="5"/>
      <c r="F363" s="22"/>
      <c r="G363" s="5"/>
      <c r="H363" s="5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5"/>
      <c r="V363" s="5"/>
      <c r="W363" s="5"/>
      <c r="X363" s="5"/>
      <c r="Y363" s="5"/>
      <c r="Z363" s="5"/>
    </row>
    <row r="364" spans="1:26" ht="14.25" customHeight="1">
      <c r="A364" s="5"/>
      <c r="B364" s="22"/>
      <c r="C364" s="22"/>
      <c r="D364" s="5"/>
      <c r="E364" s="5"/>
      <c r="F364" s="22"/>
      <c r="G364" s="5"/>
      <c r="H364" s="5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5"/>
      <c r="V364" s="5"/>
      <c r="W364" s="5"/>
      <c r="X364" s="5"/>
      <c r="Y364" s="5"/>
      <c r="Z364" s="5"/>
    </row>
    <row r="365" spans="1:26" ht="14.25" customHeight="1">
      <c r="A365" s="5"/>
      <c r="B365" s="22"/>
      <c r="C365" s="22"/>
      <c r="D365" s="5"/>
      <c r="E365" s="5"/>
      <c r="F365" s="22"/>
      <c r="G365" s="5"/>
      <c r="H365" s="5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5"/>
      <c r="V365" s="5"/>
      <c r="W365" s="5"/>
      <c r="X365" s="5"/>
      <c r="Y365" s="5"/>
      <c r="Z365" s="5"/>
    </row>
    <row r="366" spans="1:26" ht="14.25" customHeight="1">
      <c r="A366" s="5"/>
      <c r="B366" s="22"/>
      <c r="C366" s="22"/>
      <c r="D366" s="5"/>
      <c r="E366" s="5"/>
      <c r="F366" s="22"/>
      <c r="G366" s="5"/>
      <c r="H366" s="5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5"/>
      <c r="V366" s="5"/>
      <c r="W366" s="5"/>
      <c r="X366" s="5"/>
      <c r="Y366" s="5"/>
      <c r="Z366" s="5"/>
    </row>
    <row r="367" spans="1:26" ht="14.25" customHeight="1">
      <c r="A367" s="5"/>
      <c r="B367" s="22"/>
      <c r="C367" s="22"/>
      <c r="D367" s="5"/>
      <c r="E367" s="5"/>
      <c r="F367" s="22"/>
      <c r="G367" s="5"/>
      <c r="H367" s="5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5"/>
      <c r="V367" s="5"/>
      <c r="W367" s="5"/>
      <c r="X367" s="5"/>
      <c r="Y367" s="5"/>
      <c r="Z367" s="5"/>
    </row>
    <row r="368" spans="1:26" ht="14.25" customHeight="1">
      <c r="A368" s="5"/>
      <c r="B368" s="22"/>
      <c r="C368" s="22"/>
      <c r="D368" s="5"/>
      <c r="E368" s="5"/>
      <c r="F368" s="22"/>
      <c r="G368" s="5"/>
      <c r="H368" s="5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5"/>
      <c r="V368" s="5"/>
      <c r="W368" s="5"/>
      <c r="X368" s="5"/>
      <c r="Y368" s="5"/>
      <c r="Z368" s="5"/>
    </row>
    <row r="369" spans="1:26" ht="14.25" customHeight="1">
      <c r="A369" s="5"/>
      <c r="B369" s="22"/>
      <c r="C369" s="22"/>
      <c r="D369" s="5"/>
      <c r="E369" s="5"/>
      <c r="F369" s="22"/>
      <c r="G369" s="5"/>
      <c r="H369" s="5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5"/>
      <c r="V369" s="5"/>
      <c r="W369" s="5"/>
      <c r="X369" s="5"/>
      <c r="Y369" s="5"/>
      <c r="Z369" s="5"/>
    </row>
    <row r="370" spans="1:26" ht="14.25" customHeight="1">
      <c r="A370" s="5"/>
      <c r="B370" s="22"/>
      <c r="C370" s="22"/>
      <c r="D370" s="5"/>
      <c r="E370" s="5"/>
      <c r="F370" s="22"/>
      <c r="G370" s="5"/>
      <c r="H370" s="5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5"/>
      <c r="V370" s="5"/>
      <c r="W370" s="5"/>
      <c r="X370" s="5"/>
      <c r="Y370" s="5"/>
      <c r="Z370" s="5"/>
    </row>
    <row r="371" spans="1:26" ht="14.25" customHeight="1">
      <c r="A371" s="5"/>
      <c r="B371" s="22"/>
      <c r="C371" s="22"/>
      <c r="D371" s="5"/>
      <c r="E371" s="5"/>
      <c r="F371" s="22"/>
      <c r="G371" s="5"/>
      <c r="H371" s="5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5"/>
      <c r="V371" s="5"/>
      <c r="W371" s="5"/>
      <c r="X371" s="5"/>
      <c r="Y371" s="5"/>
      <c r="Z371" s="5"/>
    </row>
    <row r="372" spans="1:26" ht="14.25" customHeight="1">
      <c r="A372" s="5"/>
      <c r="B372" s="22"/>
      <c r="C372" s="22"/>
      <c r="D372" s="5"/>
      <c r="E372" s="5"/>
      <c r="F372" s="22"/>
      <c r="G372" s="5"/>
      <c r="H372" s="5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5"/>
      <c r="V372" s="5"/>
      <c r="W372" s="5"/>
      <c r="X372" s="5"/>
      <c r="Y372" s="5"/>
      <c r="Z372" s="5"/>
    </row>
    <row r="373" spans="1:26" ht="14.25" customHeight="1">
      <c r="A373" s="5"/>
      <c r="B373" s="22"/>
      <c r="C373" s="22"/>
      <c r="D373" s="5"/>
      <c r="E373" s="5"/>
      <c r="F373" s="22"/>
      <c r="G373" s="5"/>
      <c r="H373" s="5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5"/>
      <c r="V373" s="5"/>
      <c r="W373" s="5"/>
      <c r="X373" s="5"/>
      <c r="Y373" s="5"/>
      <c r="Z373" s="5"/>
    </row>
    <row r="374" spans="1:26" ht="14.25" customHeight="1">
      <c r="A374" s="5"/>
      <c r="B374" s="22"/>
      <c r="C374" s="22"/>
      <c r="D374" s="5"/>
      <c r="E374" s="5"/>
      <c r="F374" s="22"/>
      <c r="G374" s="5"/>
      <c r="H374" s="5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5"/>
      <c r="V374" s="5"/>
      <c r="W374" s="5"/>
      <c r="X374" s="5"/>
      <c r="Y374" s="5"/>
      <c r="Z374" s="5"/>
    </row>
    <row r="375" spans="1:26" ht="14.25" customHeight="1">
      <c r="A375" s="5"/>
      <c r="B375" s="22"/>
      <c r="C375" s="22"/>
      <c r="D375" s="5"/>
      <c r="E375" s="5"/>
      <c r="F375" s="22"/>
      <c r="G375" s="5"/>
      <c r="H375" s="5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5"/>
      <c r="V375" s="5"/>
      <c r="W375" s="5"/>
      <c r="X375" s="5"/>
      <c r="Y375" s="5"/>
      <c r="Z375" s="5"/>
    </row>
    <row r="376" spans="1:26" ht="14.25" customHeight="1">
      <c r="A376" s="5"/>
      <c r="B376" s="22"/>
      <c r="C376" s="22"/>
      <c r="D376" s="5"/>
      <c r="E376" s="5"/>
      <c r="F376" s="22"/>
      <c r="G376" s="5"/>
      <c r="H376" s="5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5"/>
      <c r="V376" s="5"/>
      <c r="W376" s="5"/>
      <c r="X376" s="5"/>
      <c r="Y376" s="5"/>
      <c r="Z376" s="5"/>
    </row>
    <row r="377" spans="1:26" ht="14.25" customHeight="1">
      <c r="A377" s="5"/>
      <c r="B377" s="22"/>
      <c r="C377" s="22"/>
      <c r="D377" s="5"/>
      <c r="E377" s="5"/>
      <c r="F377" s="22"/>
      <c r="G377" s="5"/>
      <c r="H377" s="5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5"/>
      <c r="V377" s="5"/>
      <c r="W377" s="5"/>
      <c r="X377" s="5"/>
      <c r="Y377" s="5"/>
      <c r="Z377" s="5"/>
    </row>
    <row r="378" spans="1:26" ht="14.25" customHeight="1">
      <c r="A378" s="5"/>
      <c r="B378" s="22"/>
      <c r="C378" s="22"/>
      <c r="D378" s="5"/>
      <c r="E378" s="5"/>
      <c r="F378" s="22"/>
      <c r="G378" s="5"/>
      <c r="H378" s="5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5"/>
      <c r="V378" s="5"/>
      <c r="W378" s="5"/>
      <c r="X378" s="5"/>
      <c r="Y378" s="5"/>
      <c r="Z378" s="5"/>
    </row>
    <row r="379" spans="1:26" ht="14.25" customHeight="1">
      <c r="A379" s="5"/>
      <c r="B379" s="22"/>
      <c r="C379" s="22"/>
      <c r="D379" s="5"/>
      <c r="E379" s="5"/>
      <c r="F379" s="22"/>
      <c r="G379" s="5"/>
      <c r="H379" s="5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5"/>
      <c r="V379" s="5"/>
      <c r="W379" s="5"/>
      <c r="X379" s="5"/>
      <c r="Y379" s="5"/>
      <c r="Z379" s="5"/>
    </row>
    <row r="380" spans="1:26" ht="14.25" customHeight="1">
      <c r="A380" s="5"/>
      <c r="B380" s="22"/>
      <c r="C380" s="22"/>
      <c r="D380" s="5"/>
      <c r="E380" s="5"/>
      <c r="F380" s="22"/>
      <c r="G380" s="5"/>
      <c r="H380" s="5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5"/>
      <c r="V380" s="5"/>
      <c r="W380" s="5"/>
      <c r="X380" s="5"/>
      <c r="Y380" s="5"/>
      <c r="Z380" s="5"/>
    </row>
    <row r="381" spans="1:26" ht="14.25" customHeight="1">
      <c r="A381" s="5"/>
      <c r="B381" s="22"/>
      <c r="C381" s="22"/>
      <c r="D381" s="5"/>
      <c r="E381" s="5"/>
      <c r="F381" s="22"/>
      <c r="G381" s="5"/>
      <c r="H381" s="5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5"/>
      <c r="V381" s="5"/>
      <c r="W381" s="5"/>
      <c r="X381" s="5"/>
      <c r="Y381" s="5"/>
      <c r="Z381" s="5"/>
    </row>
    <row r="382" spans="1:26" ht="14.25" customHeight="1">
      <c r="A382" s="5"/>
      <c r="B382" s="22"/>
      <c r="C382" s="22"/>
      <c r="D382" s="5"/>
      <c r="E382" s="5"/>
      <c r="F382" s="22"/>
      <c r="G382" s="5"/>
      <c r="H382" s="5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5"/>
      <c r="V382" s="5"/>
      <c r="W382" s="5"/>
      <c r="X382" s="5"/>
      <c r="Y382" s="5"/>
      <c r="Z382" s="5"/>
    </row>
    <row r="383" spans="1:26" ht="14.25" customHeight="1">
      <c r="A383" s="5"/>
      <c r="B383" s="22"/>
      <c r="C383" s="22"/>
      <c r="D383" s="5"/>
      <c r="E383" s="5"/>
      <c r="F383" s="22"/>
      <c r="G383" s="5"/>
      <c r="H383" s="5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5"/>
      <c r="V383" s="5"/>
      <c r="W383" s="5"/>
      <c r="X383" s="5"/>
      <c r="Y383" s="5"/>
      <c r="Z383" s="5"/>
    </row>
    <row r="384" spans="1:26" ht="14.25" customHeight="1">
      <c r="A384" s="5"/>
      <c r="B384" s="22"/>
      <c r="C384" s="22"/>
      <c r="D384" s="5"/>
      <c r="E384" s="5"/>
      <c r="F384" s="22"/>
      <c r="G384" s="5"/>
      <c r="H384" s="5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5"/>
      <c r="V384" s="5"/>
      <c r="W384" s="5"/>
      <c r="X384" s="5"/>
      <c r="Y384" s="5"/>
      <c r="Z384" s="5"/>
    </row>
    <row r="385" spans="1:26" ht="14.25" customHeight="1">
      <c r="A385" s="5"/>
      <c r="B385" s="22"/>
      <c r="C385" s="22"/>
      <c r="D385" s="5"/>
      <c r="E385" s="5"/>
      <c r="F385" s="22"/>
      <c r="G385" s="5"/>
      <c r="H385" s="5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5"/>
      <c r="V385" s="5"/>
      <c r="W385" s="5"/>
      <c r="X385" s="5"/>
      <c r="Y385" s="5"/>
      <c r="Z385" s="5"/>
    </row>
    <row r="386" spans="1:26" ht="14.25" customHeight="1">
      <c r="A386" s="5"/>
      <c r="B386" s="22"/>
      <c r="C386" s="22"/>
      <c r="D386" s="5"/>
      <c r="E386" s="5"/>
      <c r="F386" s="22"/>
      <c r="G386" s="5"/>
      <c r="H386" s="5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5"/>
      <c r="V386" s="5"/>
      <c r="W386" s="5"/>
      <c r="X386" s="5"/>
      <c r="Y386" s="5"/>
      <c r="Z386" s="5"/>
    </row>
    <row r="387" spans="1:26" ht="14.25" customHeight="1">
      <c r="A387" s="5"/>
      <c r="B387" s="22"/>
      <c r="C387" s="22"/>
      <c r="D387" s="5"/>
      <c r="E387" s="5"/>
      <c r="F387" s="22"/>
      <c r="G387" s="5"/>
      <c r="H387" s="5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5"/>
      <c r="V387" s="5"/>
      <c r="W387" s="5"/>
      <c r="X387" s="5"/>
      <c r="Y387" s="5"/>
      <c r="Z387" s="5"/>
    </row>
    <row r="388" spans="1:26" ht="14.25" customHeight="1">
      <c r="A388" s="5"/>
      <c r="B388" s="22"/>
      <c r="C388" s="22"/>
      <c r="D388" s="5"/>
      <c r="E388" s="5"/>
      <c r="F388" s="22"/>
      <c r="G388" s="5"/>
      <c r="H388" s="5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5"/>
      <c r="V388" s="5"/>
      <c r="W388" s="5"/>
      <c r="X388" s="5"/>
      <c r="Y388" s="5"/>
      <c r="Z388" s="5"/>
    </row>
    <row r="389" spans="1:26" ht="14.25" customHeight="1">
      <c r="A389" s="5"/>
      <c r="B389" s="22"/>
      <c r="C389" s="22"/>
      <c r="D389" s="5"/>
      <c r="E389" s="5"/>
      <c r="F389" s="22"/>
      <c r="G389" s="5"/>
      <c r="H389" s="5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5"/>
      <c r="V389" s="5"/>
      <c r="W389" s="5"/>
      <c r="X389" s="5"/>
      <c r="Y389" s="5"/>
      <c r="Z389" s="5"/>
    </row>
    <row r="390" spans="1:26" ht="14.25" customHeight="1">
      <c r="A390" s="5"/>
      <c r="B390" s="22"/>
      <c r="C390" s="22"/>
      <c r="D390" s="5"/>
      <c r="E390" s="5"/>
      <c r="F390" s="22"/>
      <c r="G390" s="5"/>
      <c r="H390" s="5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5"/>
      <c r="V390" s="5"/>
      <c r="W390" s="5"/>
      <c r="X390" s="5"/>
      <c r="Y390" s="5"/>
      <c r="Z390" s="5"/>
    </row>
    <row r="391" spans="1:26" ht="14.25" customHeight="1">
      <c r="A391" s="5"/>
      <c r="B391" s="22"/>
      <c r="C391" s="22"/>
      <c r="D391" s="5"/>
      <c r="E391" s="5"/>
      <c r="F391" s="22"/>
      <c r="G391" s="5"/>
      <c r="H391" s="5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5"/>
      <c r="V391" s="5"/>
      <c r="W391" s="5"/>
      <c r="X391" s="5"/>
      <c r="Y391" s="5"/>
      <c r="Z391" s="5"/>
    </row>
    <row r="392" spans="1:26" ht="14.25" customHeight="1">
      <c r="A392" s="5"/>
      <c r="B392" s="22"/>
      <c r="C392" s="22"/>
      <c r="D392" s="5"/>
      <c r="E392" s="5"/>
      <c r="F392" s="22"/>
      <c r="G392" s="5"/>
      <c r="H392" s="5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5"/>
      <c r="V392" s="5"/>
      <c r="W392" s="5"/>
      <c r="X392" s="5"/>
      <c r="Y392" s="5"/>
      <c r="Z392" s="5"/>
    </row>
    <row r="393" spans="1:26" ht="14.25" customHeight="1">
      <c r="A393" s="5"/>
      <c r="B393" s="22"/>
      <c r="C393" s="22"/>
      <c r="D393" s="5"/>
      <c r="E393" s="5"/>
      <c r="F393" s="22"/>
      <c r="G393" s="5"/>
      <c r="H393" s="5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5"/>
      <c r="V393" s="5"/>
      <c r="W393" s="5"/>
      <c r="X393" s="5"/>
      <c r="Y393" s="5"/>
      <c r="Z393" s="5"/>
    </row>
    <row r="394" spans="1:26" ht="14.25" customHeight="1">
      <c r="A394" s="5"/>
      <c r="B394" s="22"/>
      <c r="C394" s="22"/>
      <c r="D394" s="5"/>
      <c r="E394" s="5"/>
      <c r="F394" s="22"/>
      <c r="G394" s="5"/>
      <c r="H394" s="5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5"/>
      <c r="V394" s="5"/>
      <c r="W394" s="5"/>
      <c r="X394" s="5"/>
      <c r="Y394" s="5"/>
      <c r="Z394" s="5"/>
    </row>
    <row r="395" spans="1:26" ht="14.25" customHeight="1">
      <c r="A395" s="5"/>
      <c r="B395" s="22"/>
      <c r="C395" s="22"/>
      <c r="D395" s="5"/>
      <c r="E395" s="5"/>
      <c r="F395" s="22"/>
      <c r="G395" s="5"/>
      <c r="H395" s="5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5"/>
      <c r="V395" s="5"/>
      <c r="W395" s="5"/>
      <c r="X395" s="5"/>
      <c r="Y395" s="5"/>
      <c r="Z395" s="5"/>
    </row>
    <row r="396" spans="1:26" ht="14.25" customHeight="1">
      <c r="A396" s="5"/>
      <c r="B396" s="22"/>
      <c r="C396" s="22"/>
      <c r="D396" s="5"/>
      <c r="E396" s="5"/>
      <c r="F396" s="22"/>
      <c r="G396" s="5"/>
      <c r="H396" s="5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5"/>
      <c r="V396" s="5"/>
      <c r="W396" s="5"/>
      <c r="X396" s="5"/>
      <c r="Y396" s="5"/>
      <c r="Z396" s="5"/>
    </row>
    <row r="397" spans="1:26" ht="14.25" customHeight="1">
      <c r="A397" s="5"/>
      <c r="B397" s="22"/>
      <c r="C397" s="22"/>
      <c r="D397" s="5"/>
      <c r="E397" s="5"/>
      <c r="F397" s="22"/>
      <c r="G397" s="5"/>
      <c r="H397" s="5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5"/>
      <c r="V397" s="5"/>
      <c r="W397" s="5"/>
      <c r="X397" s="5"/>
      <c r="Y397" s="5"/>
      <c r="Z397" s="5"/>
    </row>
    <row r="398" spans="1:26" ht="14.25" customHeight="1">
      <c r="A398" s="5"/>
      <c r="B398" s="22"/>
      <c r="C398" s="22"/>
      <c r="D398" s="5"/>
      <c r="E398" s="5"/>
      <c r="F398" s="22"/>
      <c r="G398" s="5"/>
      <c r="H398" s="5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5"/>
      <c r="V398" s="5"/>
      <c r="W398" s="5"/>
      <c r="X398" s="5"/>
      <c r="Y398" s="5"/>
      <c r="Z398" s="5"/>
    </row>
    <row r="399" spans="1:26" ht="14.25" customHeight="1">
      <c r="A399" s="5"/>
      <c r="B399" s="22"/>
      <c r="C399" s="22"/>
      <c r="D399" s="5"/>
      <c r="E399" s="5"/>
      <c r="F399" s="22"/>
      <c r="G399" s="5"/>
      <c r="H399" s="5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5"/>
      <c r="V399" s="5"/>
      <c r="W399" s="5"/>
      <c r="X399" s="5"/>
      <c r="Y399" s="5"/>
      <c r="Z399" s="5"/>
    </row>
    <row r="400" spans="1:26" ht="14.25" customHeight="1">
      <c r="A400" s="5"/>
      <c r="B400" s="22"/>
      <c r="C400" s="22"/>
      <c r="D400" s="5"/>
      <c r="E400" s="5"/>
      <c r="F400" s="22"/>
      <c r="G400" s="5"/>
      <c r="H400" s="5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5"/>
      <c r="V400" s="5"/>
      <c r="W400" s="5"/>
      <c r="X400" s="5"/>
      <c r="Y400" s="5"/>
      <c r="Z400" s="5"/>
    </row>
    <row r="401" spans="1:26" ht="14.25" customHeight="1">
      <c r="A401" s="5"/>
      <c r="B401" s="22"/>
      <c r="C401" s="22"/>
      <c r="D401" s="5"/>
      <c r="E401" s="5"/>
      <c r="F401" s="22"/>
      <c r="G401" s="5"/>
      <c r="H401" s="5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5"/>
      <c r="V401" s="5"/>
      <c r="W401" s="5"/>
      <c r="X401" s="5"/>
      <c r="Y401" s="5"/>
      <c r="Z401" s="5"/>
    </row>
    <row r="402" spans="1:26" ht="14.25" customHeight="1">
      <c r="A402" s="5"/>
      <c r="B402" s="22"/>
      <c r="C402" s="22"/>
      <c r="D402" s="5"/>
      <c r="E402" s="5"/>
      <c r="F402" s="22"/>
      <c r="G402" s="5"/>
      <c r="H402" s="5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5"/>
      <c r="V402" s="5"/>
      <c r="W402" s="5"/>
      <c r="X402" s="5"/>
      <c r="Y402" s="5"/>
      <c r="Z402" s="5"/>
    </row>
    <row r="403" spans="1:26" ht="14.25" customHeight="1">
      <c r="A403" s="5"/>
      <c r="B403" s="22"/>
      <c r="C403" s="22"/>
      <c r="D403" s="5"/>
      <c r="E403" s="5"/>
      <c r="F403" s="22"/>
      <c r="G403" s="5"/>
      <c r="H403" s="5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5"/>
      <c r="V403" s="5"/>
      <c r="W403" s="5"/>
      <c r="X403" s="5"/>
      <c r="Y403" s="5"/>
      <c r="Z403" s="5"/>
    </row>
    <row r="404" spans="1:26" ht="14.25" customHeight="1">
      <c r="A404" s="5"/>
      <c r="B404" s="22"/>
      <c r="C404" s="22"/>
      <c r="D404" s="5"/>
      <c r="E404" s="5"/>
      <c r="F404" s="22"/>
      <c r="G404" s="5"/>
      <c r="H404" s="5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5"/>
      <c r="V404" s="5"/>
      <c r="W404" s="5"/>
      <c r="X404" s="5"/>
      <c r="Y404" s="5"/>
      <c r="Z404" s="5"/>
    </row>
    <row r="405" spans="1:26" ht="14.25" customHeight="1">
      <c r="A405" s="5"/>
      <c r="B405" s="22"/>
      <c r="C405" s="22"/>
      <c r="D405" s="5"/>
      <c r="E405" s="5"/>
      <c r="F405" s="22"/>
      <c r="G405" s="5"/>
      <c r="H405" s="5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5"/>
      <c r="V405" s="5"/>
      <c r="W405" s="5"/>
      <c r="X405" s="5"/>
      <c r="Y405" s="5"/>
      <c r="Z405" s="5"/>
    </row>
    <row r="406" spans="1:26" ht="14.25" customHeight="1">
      <c r="A406" s="5"/>
      <c r="B406" s="22"/>
      <c r="C406" s="22"/>
      <c r="D406" s="5"/>
      <c r="E406" s="5"/>
      <c r="F406" s="22"/>
      <c r="G406" s="5"/>
      <c r="H406" s="5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5"/>
      <c r="V406" s="5"/>
      <c r="W406" s="5"/>
      <c r="X406" s="5"/>
      <c r="Y406" s="5"/>
      <c r="Z406" s="5"/>
    </row>
    <row r="407" spans="1:26" ht="14.25" customHeight="1">
      <c r="A407" s="5"/>
      <c r="B407" s="22"/>
      <c r="C407" s="22"/>
      <c r="D407" s="5"/>
      <c r="E407" s="5"/>
      <c r="F407" s="22"/>
      <c r="G407" s="5"/>
      <c r="H407" s="5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5"/>
      <c r="V407" s="5"/>
      <c r="W407" s="5"/>
      <c r="X407" s="5"/>
      <c r="Y407" s="5"/>
      <c r="Z407" s="5"/>
    </row>
    <row r="408" spans="1:26" ht="14.25" customHeight="1">
      <c r="A408" s="5"/>
      <c r="B408" s="22"/>
      <c r="C408" s="22"/>
      <c r="D408" s="5"/>
      <c r="E408" s="5"/>
      <c r="F408" s="22"/>
      <c r="G408" s="5"/>
      <c r="H408" s="5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5"/>
      <c r="V408" s="5"/>
      <c r="W408" s="5"/>
      <c r="X408" s="5"/>
      <c r="Y408" s="5"/>
      <c r="Z408" s="5"/>
    </row>
    <row r="409" spans="1:26" ht="14.25" customHeight="1">
      <c r="A409" s="5"/>
      <c r="B409" s="22"/>
      <c r="C409" s="22"/>
      <c r="D409" s="5"/>
      <c r="E409" s="5"/>
      <c r="F409" s="22"/>
      <c r="G409" s="5"/>
      <c r="H409" s="5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5"/>
      <c r="V409" s="5"/>
      <c r="W409" s="5"/>
      <c r="X409" s="5"/>
      <c r="Y409" s="5"/>
      <c r="Z409" s="5"/>
    </row>
    <row r="410" spans="1:26" ht="14.25" customHeight="1">
      <c r="A410" s="5"/>
      <c r="B410" s="22"/>
      <c r="C410" s="22"/>
      <c r="D410" s="5"/>
      <c r="E410" s="5"/>
      <c r="F410" s="22"/>
      <c r="G410" s="5"/>
      <c r="H410" s="5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5"/>
      <c r="V410" s="5"/>
      <c r="W410" s="5"/>
      <c r="X410" s="5"/>
      <c r="Y410" s="5"/>
      <c r="Z410" s="5"/>
    </row>
    <row r="411" spans="1:26" ht="14.25" customHeight="1">
      <c r="A411" s="5"/>
      <c r="B411" s="22"/>
      <c r="C411" s="22"/>
      <c r="D411" s="5"/>
      <c r="E411" s="5"/>
      <c r="F411" s="22"/>
      <c r="G411" s="5"/>
      <c r="H411" s="5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5"/>
      <c r="V411" s="5"/>
      <c r="W411" s="5"/>
      <c r="X411" s="5"/>
      <c r="Y411" s="5"/>
      <c r="Z411" s="5"/>
    </row>
    <row r="412" spans="1:26" ht="14.25" customHeight="1">
      <c r="A412" s="5"/>
      <c r="B412" s="22"/>
      <c r="C412" s="22"/>
      <c r="D412" s="5"/>
      <c r="E412" s="5"/>
      <c r="F412" s="22"/>
      <c r="G412" s="5"/>
      <c r="H412" s="5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5"/>
      <c r="V412" s="5"/>
      <c r="W412" s="5"/>
      <c r="X412" s="5"/>
      <c r="Y412" s="5"/>
      <c r="Z412" s="5"/>
    </row>
    <row r="413" spans="1:26" ht="14.25" customHeight="1">
      <c r="A413" s="5"/>
      <c r="B413" s="22"/>
      <c r="C413" s="22"/>
      <c r="D413" s="5"/>
      <c r="E413" s="5"/>
      <c r="F413" s="22"/>
      <c r="G413" s="5"/>
      <c r="H413" s="5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5"/>
      <c r="V413" s="5"/>
      <c r="W413" s="5"/>
      <c r="X413" s="5"/>
      <c r="Y413" s="5"/>
      <c r="Z413" s="5"/>
    </row>
    <row r="414" spans="1:26" ht="14.25" customHeight="1">
      <c r="A414" s="5"/>
      <c r="B414" s="22"/>
      <c r="C414" s="22"/>
      <c r="D414" s="5"/>
      <c r="E414" s="5"/>
      <c r="F414" s="22"/>
      <c r="G414" s="5"/>
      <c r="H414" s="5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5"/>
      <c r="V414" s="5"/>
      <c r="W414" s="5"/>
      <c r="X414" s="5"/>
      <c r="Y414" s="5"/>
      <c r="Z414" s="5"/>
    </row>
    <row r="415" spans="1:26" ht="14.25" customHeight="1">
      <c r="A415" s="5"/>
      <c r="B415" s="22"/>
      <c r="C415" s="22"/>
      <c r="D415" s="5"/>
      <c r="E415" s="5"/>
      <c r="F415" s="22"/>
      <c r="G415" s="5"/>
      <c r="H415" s="5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5"/>
      <c r="V415" s="5"/>
      <c r="W415" s="5"/>
      <c r="X415" s="5"/>
      <c r="Y415" s="5"/>
      <c r="Z415" s="5"/>
    </row>
    <row r="416" spans="1:26" ht="14.25" customHeight="1">
      <c r="A416" s="5"/>
      <c r="B416" s="22"/>
      <c r="C416" s="22"/>
      <c r="D416" s="5"/>
      <c r="E416" s="5"/>
      <c r="F416" s="22"/>
      <c r="G416" s="5"/>
      <c r="H416" s="5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5"/>
      <c r="V416" s="5"/>
      <c r="W416" s="5"/>
      <c r="X416" s="5"/>
      <c r="Y416" s="5"/>
      <c r="Z416" s="5"/>
    </row>
    <row r="417" spans="1:26" ht="14.25" customHeight="1">
      <c r="A417" s="5"/>
      <c r="B417" s="22"/>
      <c r="C417" s="22"/>
      <c r="D417" s="5"/>
      <c r="E417" s="5"/>
      <c r="F417" s="22"/>
      <c r="G417" s="5"/>
      <c r="H417" s="5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5"/>
      <c r="V417" s="5"/>
      <c r="W417" s="5"/>
      <c r="X417" s="5"/>
      <c r="Y417" s="5"/>
      <c r="Z417" s="5"/>
    </row>
    <row r="418" spans="1:26" ht="14.25" customHeight="1">
      <c r="A418" s="5"/>
      <c r="B418" s="22"/>
      <c r="C418" s="22"/>
      <c r="D418" s="5"/>
      <c r="E418" s="5"/>
      <c r="F418" s="22"/>
      <c r="G418" s="5"/>
      <c r="H418" s="5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5"/>
      <c r="V418" s="5"/>
      <c r="W418" s="5"/>
      <c r="X418" s="5"/>
      <c r="Y418" s="5"/>
      <c r="Z418" s="5"/>
    </row>
    <row r="419" spans="1:26" ht="14.25" customHeight="1">
      <c r="A419" s="5"/>
      <c r="B419" s="22"/>
      <c r="C419" s="22"/>
      <c r="D419" s="5"/>
      <c r="E419" s="5"/>
      <c r="F419" s="22"/>
      <c r="G419" s="5"/>
      <c r="H419" s="5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5"/>
      <c r="V419" s="5"/>
      <c r="W419" s="5"/>
      <c r="X419" s="5"/>
      <c r="Y419" s="5"/>
      <c r="Z419" s="5"/>
    </row>
    <row r="420" spans="1:26" ht="14.25" customHeight="1">
      <c r="A420" s="5"/>
      <c r="B420" s="22"/>
      <c r="C420" s="22"/>
      <c r="D420" s="5"/>
      <c r="E420" s="5"/>
      <c r="F420" s="22"/>
      <c r="G420" s="5"/>
      <c r="H420" s="5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5"/>
      <c r="V420" s="5"/>
      <c r="W420" s="5"/>
      <c r="X420" s="5"/>
      <c r="Y420" s="5"/>
      <c r="Z420" s="5"/>
    </row>
    <row r="421" spans="1:26" ht="14.25" customHeight="1">
      <c r="A421" s="5"/>
      <c r="B421" s="22"/>
      <c r="C421" s="22"/>
      <c r="D421" s="5"/>
      <c r="E421" s="5"/>
      <c r="F421" s="22"/>
      <c r="G421" s="5"/>
      <c r="H421" s="5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5"/>
      <c r="V421" s="5"/>
      <c r="W421" s="5"/>
      <c r="X421" s="5"/>
      <c r="Y421" s="5"/>
      <c r="Z421" s="5"/>
    </row>
    <row r="422" spans="1:26" ht="14.25" customHeight="1">
      <c r="A422" s="5"/>
      <c r="B422" s="22"/>
      <c r="C422" s="22"/>
      <c r="D422" s="5"/>
      <c r="E422" s="5"/>
      <c r="F422" s="22"/>
      <c r="G422" s="5"/>
      <c r="H422" s="5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5"/>
      <c r="V422" s="5"/>
      <c r="W422" s="5"/>
      <c r="X422" s="5"/>
      <c r="Y422" s="5"/>
      <c r="Z422" s="5"/>
    </row>
    <row r="423" spans="1:26" ht="14.25" customHeight="1">
      <c r="A423" s="5"/>
      <c r="B423" s="22"/>
      <c r="C423" s="22"/>
      <c r="D423" s="5"/>
      <c r="E423" s="5"/>
      <c r="F423" s="22"/>
      <c r="G423" s="5"/>
      <c r="H423" s="5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5"/>
      <c r="V423" s="5"/>
      <c r="W423" s="5"/>
      <c r="X423" s="5"/>
      <c r="Y423" s="5"/>
      <c r="Z423" s="5"/>
    </row>
    <row r="424" spans="1:26" ht="14.25" customHeight="1">
      <c r="A424" s="5"/>
      <c r="B424" s="22"/>
      <c r="C424" s="22"/>
      <c r="D424" s="5"/>
      <c r="E424" s="5"/>
      <c r="F424" s="22"/>
      <c r="G424" s="5"/>
      <c r="H424" s="5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5"/>
      <c r="V424" s="5"/>
      <c r="W424" s="5"/>
      <c r="X424" s="5"/>
      <c r="Y424" s="5"/>
      <c r="Z424" s="5"/>
    </row>
    <row r="425" spans="1:26" ht="14.25" customHeight="1">
      <c r="A425" s="5"/>
      <c r="B425" s="22"/>
      <c r="C425" s="22"/>
      <c r="D425" s="5"/>
      <c r="E425" s="5"/>
      <c r="F425" s="22"/>
      <c r="G425" s="5"/>
      <c r="H425" s="5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5"/>
      <c r="V425" s="5"/>
      <c r="W425" s="5"/>
      <c r="X425" s="5"/>
      <c r="Y425" s="5"/>
      <c r="Z425" s="5"/>
    </row>
    <row r="426" spans="1:26" ht="14.25" customHeight="1">
      <c r="A426" s="5"/>
      <c r="B426" s="22"/>
      <c r="C426" s="22"/>
      <c r="D426" s="5"/>
      <c r="E426" s="5"/>
      <c r="F426" s="22"/>
      <c r="G426" s="5"/>
      <c r="H426" s="5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5"/>
      <c r="V426" s="5"/>
      <c r="W426" s="5"/>
      <c r="X426" s="5"/>
      <c r="Y426" s="5"/>
      <c r="Z426" s="5"/>
    </row>
    <row r="427" spans="1:26" ht="14.25" customHeight="1">
      <c r="A427" s="5"/>
      <c r="B427" s="22"/>
      <c r="C427" s="22"/>
      <c r="D427" s="5"/>
      <c r="E427" s="5"/>
      <c r="F427" s="22"/>
      <c r="G427" s="5"/>
      <c r="H427" s="5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5"/>
      <c r="V427" s="5"/>
      <c r="W427" s="5"/>
      <c r="X427" s="5"/>
      <c r="Y427" s="5"/>
      <c r="Z427" s="5"/>
    </row>
    <row r="428" spans="1:26" ht="14.25" customHeight="1">
      <c r="A428" s="5"/>
      <c r="B428" s="22"/>
      <c r="C428" s="22"/>
      <c r="D428" s="5"/>
      <c r="E428" s="5"/>
      <c r="F428" s="22"/>
      <c r="G428" s="5"/>
      <c r="H428" s="5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5"/>
      <c r="V428" s="5"/>
      <c r="W428" s="5"/>
      <c r="X428" s="5"/>
      <c r="Y428" s="5"/>
      <c r="Z428" s="5"/>
    </row>
    <row r="429" spans="1:26" ht="14.25" customHeight="1">
      <c r="A429" s="5"/>
      <c r="B429" s="22"/>
      <c r="C429" s="22"/>
      <c r="D429" s="5"/>
      <c r="E429" s="5"/>
      <c r="F429" s="22"/>
      <c r="G429" s="5"/>
      <c r="H429" s="5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5"/>
      <c r="V429" s="5"/>
      <c r="W429" s="5"/>
      <c r="X429" s="5"/>
      <c r="Y429" s="5"/>
      <c r="Z429" s="5"/>
    </row>
    <row r="430" spans="1:26" ht="14.25" customHeight="1">
      <c r="A430" s="5"/>
      <c r="B430" s="22"/>
      <c r="C430" s="22"/>
      <c r="D430" s="5"/>
      <c r="E430" s="5"/>
      <c r="F430" s="22"/>
      <c r="G430" s="5"/>
      <c r="H430" s="5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5"/>
      <c r="V430" s="5"/>
      <c r="W430" s="5"/>
      <c r="X430" s="5"/>
      <c r="Y430" s="5"/>
      <c r="Z430" s="5"/>
    </row>
    <row r="431" spans="1:26" ht="14.25" customHeight="1">
      <c r="A431" s="5"/>
      <c r="B431" s="22"/>
      <c r="C431" s="22"/>
      <c r="D431" s="5"/>
      <c r="E431" s="5"/>
      <c r="F431" s="22"/>
      <c r="G431" s="5"/>
      <c r="H431" s="5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5"/>
      <c r="V431" s="5"/>
      <c r="W431" s="5"/>
      <c r="X431" s="5"/>
      <c r="Y431" s="5"/>
      <c r="Z431" s="5"/>
    </row>
    <row r="432" spans="1:26" ht="14.25" customHeight="1">
      <c r="A432" s="5"/>
      <c r="B432" s="22"/>
      <c r="C432" s="22"/>
      <c r="D432" s="5"/>
      <c r="E432" s="5"/>
      <c r="F432" s="22"/>
      <c r="G432" s="5"/>
      <c r="H432" s="5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5"/>
      <c r="V432" s="5"/>
      <c r="W432" s="5"/>
      <c r="X432" s="5"/>
      <c r="Y432" s="5"/>
      <c r="Z432" s="5"/>
    </row>
    <row r="433" spans="1:26" ht="14.25" customHeight="1">
      <c r="A433" s="5"/>
      <c r="B433" s="22"/>
      <c r="C433" s="22"/>
      <c r="D433" s="5"/>
      <c r="E433" s="5"/>
      <c r="F433" s="22"/>
      <c r="G433" s="5"/>
      <c r="H433" s="5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5"/>
      <c r="V433" s="5"/>
      <c r="W433" s="5"/>
      <c r="X433" s="5"/>
      <c r="Y433" s="5"/>
      <c r="Z433" s="5"/>
    </row>
    <row r="434" spans="1:26" ht="14.25" customHeight="1">
      <c r="A434" s="5"/>
      <c r="B434" s="22"/>
      <c r="C434" s="22"/>
      <c r="D434" s="5"/>
      <c r="E434" s="5"/>
      <c r="F434" s="22"/>
      <c r="G434" s="5"/>
      <c r="H434" s="5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5"/>
      <c r="V434" s="5"/>
      <c r="W434" s="5"/>
      <c r="X434" s="5"/>
      <c r="Y434" s="5"/>
      <c r="Z434" s="5"/>
    </row>
    <row r="435" spans="1:26" ht="14.25" customHeight="1">
      <c r="A435" s="5"/>
      <c r="B435" s="22"/>
      <c r="C435" s="22"/>
      <c r="D435" s="5"/>
      <c r="E435" s="5"/>
      <c r="F435" s="22"/>
      <c r="G435" s="5"/>
      <c r="H435" s="5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5"/>
      <c r="V435" s="5"/>
      <c r="W435" s="5"/>
      <c r="X435" s="5"/>
      <c r="Y435" s="5"/>
      <c r="Z435" s="5"/>
    </row>
    <row r="436" spans="1:26" ht="14.25" customHeight="1">
      <c r="A436" s="5"/>
      <c r="B436" s="22"/>
      <c r="C436" s="22"/>
      <c r="D436" s="5"/>
      <c r="E436" s="5"/>
      <c r="F436" s="22"/>
      <c r="G436" s="5"/>
      <c r="H436" s="5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5"/>
      <c r="V436" s="5"/>
      <c r="W436" s="5"/>
      <c r="X436" s="5"/>
      <c r="Y436" s="5"/>
      <c r="Z436" s="5"/>
    </row>
    <row r="437" spans="1:26" ht="14.25" customHeight="1">
      <c r="A437" s="5"/>
      <c r="B437" s="22"/>
      <c r="C437" s="22"/>
      <c r="D437" s="5"/>
      <c r="E437" s="5"/>
      <c r="F437" s="22"/>
      <c r="G437" s="5"/>
      <c r="H437" s="5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5"/>
      <c r="V437" s="5"/>
      <c r="W437" s="5"/>
      <c r="X437" s="5"/>
      <c r="Y437" s="5"/>
      <c r="Z437" s="5"/>
    </row>
    <row r="438" spans="1:26" ht="14.25" customHeight="1">
      <c r="A438" s="5"/>
      <c r="B438" s="22"/>
      <c r="C438" s="22"/>
      <c r="D438" s="5"/>
      <c r="E438" s="5"/>
      <c r="F438" s="22"/>
      <c r="G438" s="5"/>
      <c r="H438" s="5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5"/>
      <c r="V438" s="5"/>
      <c r="W438" s="5"/>
      <c r="X438" s="5"/>
      <c r="Y438" s="5"/>
      <c r="Z438" s="5"/>
    </row>
    <row r="439" spans="1:26" ht="14.25" customHeight="1">
      <c r="A439" s="5"/>
      <c r="B439" s="22"/>
      <c r="C439" s="22"/>
      <c r="D439" s="5"/>
      <c r="E439" s="5"/>
      <c r="F439" s="22"/>
      <c r="G439" s="5"/>
      <c r="H439" s="5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5"/>
      <c r="V439" s="5"/>
      <c r="W439" s="5"/>
      <c r="X439" s="5"/>
      <c r="Y439" s="5"/>
      <c r="Z439" s="5"/>
    </row>
    <row r="440" spans="1:26" ht="14.25" customHeight="1">
      <c r="A440" s="5"/>
      <c r="B440" s="22"/>
      <c r="C440" s="22"/>
      <c r="D440" s="5"/>
      <c r="E440" s="5"/>
      <c r="F440" s="22"/>
      <c r="G440" s="5"/>
      <c r="H440" s="5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5"/>
      <c r="V440" s="5"/>
      <c r="W440" s="5"/>
      <c r="X440" s="5"/>
      <c r="Y440" s="5"/>
      <c r="Z440" s="5"/>
    </row>
    <row r="441" spans="1:26" ht="14.25" customHeight="1">
      <c r="A441" s="5"/>
      <c r="B441" s="22"/>
      <c r="C441" s="22"/>
      <c r="D441" s="5"/>
      <c r="E441" s="5"/>
      <c r="F441" s="22"/>
      <c r="G441" s="5"/>
      <c r="H441" s="5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5"/>
      <c r="V441" s="5"/>
      <c r="W441" s="5"/>
      <c r="X441" s="5"/>
      <c r="Y441" s="5"/>
      <c r="Z441" s="5"/>
    </row>
    <row r="442" spans="1:26" ht="14.25" customHeight="1">
      <c r="A442" s="5"/>
      <c r="B442" s="22"/>
      <c r="C442" s="22"/>
      <c r="D442" s="5"/>
      <c r="E442" s="5"/>
      <c r="F442" s="22"/>
      <c r="G442" s="5"/>
      <c r="H442" s="5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5"/>
      <c r="V442" s="5"/>
      <c r="W442" s="5"/>
      <c r="X442" s="5"/>
      <c r="Y442" s="5"/>
      <c r="Z442" s="5"/>
    </row>
    <row r="443" spans="1:26" ht="14.25" customHeight="1">
      <c r="A443" s="5"/>
      <c r="B443" s="22"/>
      <c r="C443" s="22"/>
      <c r="D443" s="5"/>
      <c r="E443" s="5"/>
      <c r="F443" s="22"/>
      <c r="G443" s="5"/>
      <c r="H443" s="5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5"/>
      <c r="V443" s="5"/>
      <c r="W443" s="5"/>
      <c r="X443" s="5"/>
      <c r="Y443" s="5"/>
      <c r="Z443" s="5"/>
    </row>
    <row r="444" spans="1:26" ht="14.25" customHeight="1">
      <c r="A444" s="5"/>
      <c r="B444" s="22"/>
      <c r="C444" s="22"/>
      <c r="D444" s="5"/>
      <c r="E444" s="5"/>
      <c r="F444" s="22"/>
      <c r="G444" s="5"/>
      <c r="H444" s="5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5"/>
      <c r="V444" s="5"/>
      <c r="W444" s="5"/>
      <c r="X444" s="5"/>
      <c r="Y444" s="5"/>
      <c r="Z444" s="5"/>
    </row>
    <row r="445" spans="1:26" ht="14.25" customHeight="1">
      <c r="A445" s="5"/>
      <c r="B445" s="22"/>
      <c r="C445" s="22"/>
      <c r="D445" s="5"/>
      <c r="E445" s="5"/>
      <c r="F445" s="22"/>
      <c r="G445" s="5"/>
      <c r="H445" s="5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5"/>
      <c r="V445" s="5"/>
      <c r="W445" s="5"/>
      <c r="X445" s="5"/>
      <c r="Y445" s="5"/>
      <c r="Z445" s="5"/>
    </row>
    <row r="446" spans="1:26" ht="14.25" customHeight="1">
      <c r="A446" s="5"/>
      <c r="B446" s="22"/>
      <c r="C446" s="22"/>
      <c r="D446" s="5"/>
      <c r="E446" s="5"/>
      <c r="F446" s="22"/>
      <c r="G446" s="5"/>
      <c r="H446" s="5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5"/>
      <c r="V446" s="5"/>
      <c r="W446" s="5"/>
      <c r="X446" s="5"/>
      <c r="Y446" s="5"/>
      <c r="Z446" s="5"/>
    </row>
    <row r="447" spans="1:26" ht="14.25" customHeight="1">
      <c r="A447" s="5"/>
      <c r="B447" s="22"/>
      <c r="C447" s="22"/>
      <c r="D447" s="5"/>
      <c r="E447" s="5"/>
      <c r="F447" s="22"/>
      <c r="G447" s="5"/>
      <c r="H447" s="5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5"/>
      <c r="V447" s="5"/>
      <c r="W447" s="5"/>
      <c r="X447" s="5"/>
      <c r="Y447" s="5"/>
      <c r="Z447" s="5"/>
    </row>
    <row r="448" spans="1:26" ht="14.25" customHeight="1">
      <c r="A448" s="5"/>
      <c r="B448" s="22"/>
      <c r="C448" s="22"/>
      <c r="D448" s="5"/>
      <c r="E448" s="5"/>
      <c r="F448" s="22"/>
      <c r="G448" s="5"/>
      <c r="H448" s="5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5"/>
      <c r="V448" s="5"/>
      <c r="W448" s="5"/>
      <c r="X448" s="5"/>
      <c r="Y448" s="5"/>
      <c r="Z448" s="5"/>
    </row>
    <row r="449" spans="1:26" ht="14.25" customHeight="1">
      <c r="A449" s="5"/>
      <c r="B449" s="22"/>
      <c r="C449" s="22"/>
      <c r="D449" s="5"/>
      <c r="E449" s="5"/>
      <c r="F449" s="22"/>
      <c r="G449" s="5"/>
      <c r="H449" s="5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5"/>
      <c r="V449" s="5"/>
      <c r="W449" s="5"/>
      <c r="X449" s="5"/>
      <c r="Y449" s="5"/>
      <c r="Z449" s="5"/>
    </row>
    <row r="450" spans="1:26" ht="14.25" customHeight="1">
      <c r="A450" s="5"/>
      <c r="B450" s="22"/>
      <c r="C450" s="22"/>
      <c r="D450" s="5"/>
      <c r="E450" s="5"/>
      <c r="F450" s="22"/>
      <c r="G450" s="5"/>
      <c r="H450" s="5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5"/>
      <c r="V450" s="5"/>
      <c r="W450" s="5"/>
      <c r="X450" s="5"/>
      <c r="Y450" s="5"/>
      <c r="Z450" s="5"/>
    </row>
    <row r="451" spans="1:26" ht="14.25" customHeight="1">
      <c r="A451" s="5"/>
      <c r="B451" s="22"/>
      <c r="C451" s="22"/>
      <c r="D451" s="5"/>
      <c r="E451" s="5"/>
      <c r="F451" s="22"/>
      <c r="G451" s="5"/>
      <c r="H451" s="5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5"/>
      <c r="V451" s="5"/>
      <c r="W451" s="5"/>
      <c r="X451" s="5"/>
      <c r="Y451" s="5"/>
      <c r="Z451" s="5"/>
    </row>
    <row r="452" spans="1:26" ht="14.25" customHeight="1">
      <c r="A452" s="5"/>
      <c r="B452" s="22"/>
      <c r="C452" s="22"/>
      <c r="D452" s="5"/>
      <c r="E452" s="5"/>
      <c r="F452" s="22"/>
      <c r="G452" s="5"/>
      <c r="H452" s="5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5"/>
      <c r="V452" s="5"/>
      <c r="W452" s="5"/>
      <c r="X452" s="5"/>
      <c r="Y452" s="5"/>
      <c r="Z452" s="5"/>
    </row>
    <row r="453" spans="1:26" ht="14.25" customHeight="1">
      <c r="A453" s="5"/>
      <c r="B453" s="22"/>
      <c r="C453" s="22"/>
      <c r="D453" s="5"/>
      <c r="E453" s="5"/>
      <c r="F453" s="22"/>
      <c r="G453" s="5"/>
      <c r="H453" s="5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5"/>
      <c r="V453" s="5"/>
      <c r="W453" s="5"/>
      <c r="X453" s="5"/>
      <c r="Y453" s="5"/>
      <c r="Z453" s="5"/>
    </row>
    <row r="454" spans="1:26" ht="14.25" customHeight="1">
      <c r="A454" s="5"/>
      <c r="B454" s="22"/>
      <c r="C454" s="22"/>
      <c r="D454" s="5"/>
      <c r="E454" s="5"/>
      <c r="F454" s="22"/>
      <c r="G454" s="5"/>
      <c r="H454" s="5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5"/>
      <c r="V454" s="5"/>
      <c r="W454" s="5"/>
      <c r="X454" s="5"/>
      <c r="Y454" s="5"/>
      <c r="Z454" s="5"/>
    </row>
    <row r="455" spans="1:26" ht="14.25" customHeight="1">
      <c r="A455" s="5"/>
      <c r="B455" s="22"/>
      <c r="C455" s="22"/>
      <c r="D455" s="5"/>
      <c r="E455" s="5"/>
      <c r="F455" s="22"/>
      <c r="G455" s="5"/>
      <c r="H455" s="5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5"/>
      <c r="V455" s="5"/>
      <c r="W455" s="5"/>
      <c r="X455" s="5"/>
      <c r="Y455" s="5"/>
      <c r="Z455" s="5"/>
    </row>
    <row r="456" spans="1:26" ht="14.25" customHeight="1">
      <c r="A456" s="5"/>
      <c r="B456" s="22"/>
      <c r="C456" s="22"/>
      <c r="D456" s="5"/>
      <c r="E456" s="5"/>
      <c r="F456" s="22"/>
      <c r="G456" s="5"/>
      <c r="H456" s="5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5"/>
      <c r="V456" s="5"/>
      <c r="W456" s="5"/>
      <c r="X456" s="5"/>
      <c r="Y456" s="5"/>
      <c r="Z456" s="5"/>
    </row>
    <row r="457" spans="1:26" ht="14.25" customHeight="1">
      <c r="A457" s="5"/>
      <c r="B457" s="22"/>
      <c r="C457" s="22"/>
      <c r="D457" s="5"/>
      <c r="E457" s="5"/>
      <c r="F457" s="22"/>
      <c r="G457" s="5"/>
      <c r="H457" s="5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5"/>
      <c r="V457" s="5"/>
      <c r="W457" s="5"/>
      <c r="X457" s="5"/>
      <c r="Y457" s="5"/>
      <c r="Z457" s="5"/>
    </row>
    <row r="458" spans="1:26" ht="14.25" customHeight="1">
      <c r="A458" s="5"/>
      <c r="B458" s="22"/>
      <c r="C458" s="22"/>
      <c r="D458" s="5"/>
      <c r="E458" s="5"/>
      <c r="F458" s="22"/>
      <c r="G458" s="5"/>
      <c r="H458" s="5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5"/>
      <c r="V458" s="5"/>
      <c r="W458" s="5"/>
      <c r="X458" s="5"/>
      <c r="Y458" s="5"/>
      <c r="Z458" s="5"/>
    </row>
    <row r="459" spans="1:26" ht="14.25" customHeight="1">
      <c r="A459" s="5"/>
      <c r="B459" s="22"/>
      <c r="C459" s="22"/>
      <c r="D459" s="5"/>
      <c r="E459" s="5"/>
      <c r="F459" s="22"/>
      <c r="G459" s="5"/>
      <c r="H459" s="5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5"/>
      <c r="V459" s="5"/>
      <c r="W459" s="5"/>
      <c r="X459" s="5"/>
      <c r="Y459" s="5"/>
      <c r="Z459" s="5"/>
    </row>
    <row r="460" spans="1:26" ht="14.25" customHeight="1">
      <c r="A460" s="5"/>
      <c r="B460" s="22"/>
      <c r="C460" s="22"/>
      <c r="D460" s="5"/>
      <c r="E460" s="5"/>
      <c r="F460" s="22"/>
      <c r="G460" s="5"/>
      <c r="H460" s="5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5"/>
      <c r="V460" s="5"/>
      <c r="W460" s="5"/>
      <c r="X460" s="5"/>
      <c r="Y460" s="5"/>
      <c r="Z460" s="5"/>
    </row>
    <row r="461" spans="1:26" ht="14.25" customHeight="1">
      <c r="A461" s="5"/>
      <c r="B461" s="22"/>
      <c r="C461" s="22"/>
      <c r="D461" s="5"/>
      <c r="E461" s="5"/>
      <c r="F461" s="22"/>
      <c r="G461" s="5"/>
      <c r="H461" s="5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5"/>
      <c r="V461" s="5"/>
      <c r="W461" s="5"/>
      <c r="X461" s="5"/>
      <c r="Y461" s="5"/>
      <c r="Z461" s="5"/>
    </row>
    <row r="462" spans="1:26" ht="14.25" customHeight="1">
      <c r="A462" s="5"/>
      <c r="B462" s="22"/>
      <c r="C462" s="22"/>
      <c r="D462" s="5"/>
      <c r="E462" s="5"/>
      <c r="F462" s="22"/>
      <c r="G462" s="5"/>
      <c r="H462" s="5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5"/>
      <c r="V462" s="5"/>
      <c r="W462" s="5"/>
      <c r="X462" s="5"/>
      <c r="Y462" s="5"/>
      <c r="Z462" s="5"/>
    </row>
    <row r="463" spans="1:26" ht="14.25" customHeight="1">
      <c r="A463" s="5"/>
      <c r="B463" s="22"/>
      <c r="C463" s="22"/>
      <c r="D463" s="5"/>
      <c r="E463" s="5"/>
      <c r="F463" s="22"/>
      <c r="G463" s="5"/>
      <c r="H463" s="5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5"/>
      <c r="V463" s="5"/>
      <c r="W463" s="5"/>
      <c r="X463" s="5"/>
      <c r="Y463" s="5"/>
      <c r="Z463" s="5"/>
    </row>
    <row r="464" spans="1:26" ht="14.25" customHeight="1">
      <c r="A464" s="5"/>
      <c r="B464" s="22"/>
      <c r="C464" s="22"/>
      <c r="D464" s="5"/>
      <c r="E464" s="5"/>
      <c r="F464" s="22"/>
      <c r="G464" s="5"/>
      <c r="H464" s="5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5"/>
      <c r="V464" s="5"/>
      <c r="W464" s="5"/>
      <c r="X464" s="5"/>
      <c r="Y464" s="5"/>
      <c r="Z464" s="5"/>
    </row>
    <row r="465" spans="1:26" ht="14.25" customHeight="1">
      <c r="A465" s="5"/>
      <c r="B465" s="22"/>
      <c r="C465" s="22"/>
      <c r="D465" s="5"/>
      <c r="E465" s="5"/>
      <c r="F465" s="22"/>
      <c r="G465" s="5"/>
      <c r="H465" s="5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5"/>
      <c r="V465" s="5"/>
      <c r="W465" s="5"/>
      <c r="X465" s="5"/>
      <c r="Y465" s="5"/>
      <c r="Z465" s="5"/>
    </row>
    <row r="466" spans="1:26" ht="14.25" customHeight="1">
      <c r="A466" s="5"/>
      <c r="B466" s="22"/>
      <c r="C466" s="22"/>
      <c r="D466" s="5"/>
      <c r="E466" s="5"/>
      <c r="F466" s="22"/>
      <c r="G466" s="5"/>
      <c r="H466" s="5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5"/>
      <c r="V466" s="5"/>
      <c r="W466" s="5"/>
      <c r="X466" s="5"/>
      <c r="Y466" s="5"/>
      <c r="Z466" s="5"/>
    </row>
    <row r="467" spans="1:26" ht="14.25" customHeight="1">
      <c r="A467" s="5"/>
      <c r="B467" s="22"/>
      <c r="C467" s="22"/>
      <c r="D467" s="5"/>
      <c r="E467" s="5"/>
      <c r="F467" s="22"/>
      <c r="G467" s="5"/>
      <c r="H467" s="5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5"/>
      <c r="V467" s="5"/>
      <c r="W467" s="5"/>
      <c r="X467" s="5"/>
      <c r="Y467" s="5"/>
      <c r="Z467" s="5"/>
    </row>
    <row r="468" spans="1:26" ht="14.25" customHeight="1">
      <c r="A468" s="5"/>
      <c r="B468" s="22"/>
      <c r="C468" s="22"/>
      <c r="D468" s="5"/>
      <c r="E468" s="5"/>
      <c r="F468" s="22"/>
      <c r="G468" s="5"/>
      <c r="H468" s="5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5"/>
      <c r="V468" s="5"/>
      <c r="W468" s="5"/>
      <c r="X468" s="5"/>
      <c r="Y468" s="5"/>
      <c r="Z468" s="5"/>
    </row>
    <row r="469" spans="1:26" ht="14.25" customHeight="1">
      <c r="A469" s="5"/>
      <c r="B469" s="22"/>
      <c r="C469" s="22"/>
      <c r="D469" s="5"/>
      <c r="E469" s="5"/>
      <c r="F469" s="22"/>
      <c r="G469" s="5"/>
      <c r="H469" s="5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5"/>
      <c r="V469" s="5"/>
      <c r="W469" s="5"/>
      <c r="X469" s="5"/>
      <c r="Y469" s="5"/>
      <c r="Z469" s="5"/>
    </row>
    <row r="470" spans="1:26" ht="14.25" customHeight="1">
      <c r="A470" s="5"/>
      <c r="B470" s="22"/>
      <c r="C470" s="22"/>
      <c r="D470" s="5"/>
      <c r="E470" s="5"/>
      <c r="F470" s="22"/>
      <c r="G470" s="5"/>
      <c r="H470" s="5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5"/>
      <c r="V470" s="5"/>
      <c r="W470" s="5"/>
      <c r="X470" s="5"/>
      <c r="Y470" s="5"/>
      <c r="Z470" s="5"/>
    </row>
    <row r="471" spans="1:26" ht="14.25" customHeight="1">
      <c r="A471" s="5"/>
      <c r="B471" s="22"/>
      <c r="C471" s="22"/>
      <c r="D471" s="5"/>
      <c r="E471" s="5"/>
      <c r="F471" s="22"/>
      <c r="G471" s="5"/>
      <c r="H471" s="5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5"/>
      <c r="V471" s="5"/>
      <c r="W471" s="5"/>
      <c r="X471" s="5"/>
      <c r="Y471" s="5"/>
      <c r="Z471" s="5"/>
    </row>
    <row r="472" spans="1:26" ht="14.25" customHeight="1">
      <c r="A472" s="5"/>
      <c r="B472" s="22"/>
      <c r="C472" s="22"/>
      <c r="D472" s="5"/>
      <c r="E472" s="5"/>
      <c r="F472" s="22"/>
      <c r="G472" s="5"/>
      <c r="H472" s="5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5"/>
      <c r="V472" s="5"/>
      <c r="W472" s="5"/>
      <c r="X472" s="5"/>
      <c r="Y472" s="5"/>
      <c r="Z472" s="5"/>
    </row>
    <row r="473" spans="1:26" ht="14.25" customHeight="1">
      <c r="A473" s="5"/>
      <c r="B473" s="22"/>
      <c r="C473" s="22"/>
      <c r="D473" s="5"/>
      <c r="E473" s="5"/>
      <c r="F473" s="22"/>
      <c r="G473" s="5"/>
      <c r="H473" s="5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5"/>
      <c r="V473" s="5"/>
      <c r="W473" s="5"/>
      <c r="X473" s="5"/>
      <c r="Y473" s="5"/>
      <c r="Z473" s="5"/>
    </row>
    <row r="474" spans="1:26" ht="14.25" customHeight="1">
      <c r="A474" s="5"/>
      <c r="B474" s="22"/>
      <c r="C474" s="22"/>
      <c r="D474" s="5"/>
      <c r="E474" s="5"/>
      <c r="F474" s="22"/>
      <c r="G474" s="5"/>
      <c r="H474" s="5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5"/>
      <c r="V474" s="5"/>
      <c r="W474" s="5"/>
      <c r="X474" s="5"/>
      <c r="Y474" s="5"/>
      <c r="Z474" s="5"/>
    </row>
    <row r="475" spans="1:26" ht="14.25" customHeight="1">
      <c r="A475" s="5"/>
      <c r="B475" s="22"/>
      <c r="C475" s="22"/>
      <c r="D475" s="5"/>
      <c r="E475" s="5"/>
      <c r="F475" s="22"/>
      <c r="G475" s="5"/>
      <c r="H475" s="5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5"/>
      <c r="V475" s="5"/>
      <c r="W475" s="5"/>
      <c r="X475" s="5"/>
      <c r="Y475" s="5"/>
      <c r="Z475" s="5"/>
    </row>
    <row r="476" spans="1:26" ht="14.25" customHeight="1">
      <c r="A476" s="5"/>
      <c r="B476" s="22"/>
      <c r="C476" s="22"/>
      <c r="D476" s="5"/>
      <c r="E476" s="5"/>
      <c r="F476" s="22"/>
      <c r="G476" s="5"/>
      <c r="H476" s="5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5"/>
      <c r="V476" s="5"/>
      <c r="W476" s="5"/>
      <c r="X476" s="5"/>
      <c r="Y476" s="5"/>
      <c r="Z476" s="5"/>
    </row>
    <row r="477" spans="1:26" ht="14.25" customHeight="1">
      <c r="A477" s="5"/>
      <c r="B477" s="22"/>
      <c r="C477" s="22"/>
      <c r="D477" s="5"/>
      <c r="E477" s="5"/>
      <c r="F477" s="22"/>
      <c r="G477" s="5"/>
      <c r="H477" s="5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5"/>
      <c r="V477" s="5"/>
      <c r="W477" s="5"/>
      <c r="X477" s="5"/>
      <c r="Y477" s="5"/>
      <c r="Z477" s="5"/>
    </row>
    <row r="478" spans="1:26" ht="14.25" customHeight="1">
      <c r="A478" s="5"/>
      <c r="B478" s="22"/>
      <c r="C478" s="22"/>
      <c r="D478" s="5"/>
      <c r="E478" s="5"/>
      <c r="F478" s="22"/>
      <c r="G478" s="5"/>
      <c r="H478" s="5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5"/>
      <c r="V478" s="5"/>
      <c r="W478" s="5"/>
      <c r="X478" s="5"/>
      <c r="Y478" s="5"/>
      <c r="Z478" s="5"/>
    </row>
    <row r="479" spans="1:26" ht="14.25" customHeight="1">
      <c r="A479" s="5"/>
      <c r="B479" s="22"/>
      <c r="C479" s="22"/>
      <c r="D479" s="5"/>
      <c r="E479" s="5"/>
      <c r="F479" s="22"/>
      <c r="G479" s="5"/>
      <c r="H479" s="5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5"/>
      <c r="V479" s="5"/>
      <c r="W479" s="5"/>
      <c r="X479" s="5"/>
      <c r="Y479" s="5"/>
      <c r="Z479" s="5"/>
    </row>
    <row r="480" spans="1:26" ht="14.25" customHeight="1">
      <c r="A480" s="5"/>
      <c r="B480" s="22"/>
      <c r="C480" s="22"/>
      <c r="D480" s="5"/>
      <c r="E480" s="5"/>
      <c r="F480" s="22"/>
      <c r="G480" s="5"/>
      <c r="H480" s="5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5"/>
      <c r="V480" s="5"/>
      <c r="W480" s="5"/>
      <c r="X480" s="5"/>
      <c r="Y480" s="5"/>
      <c r="Z480" s="5"/>
    </row>
    <row r="481" spans="1:26" ht="14.25" customHeight="1">
      <c r="A481" s="5"/>
      <c r="B481" s="22"/>
      <c r="C481" s="22"/>
      <c r="D481" s="5"/>
      <c r="E481" s="5"/>
      <c r="F481" s="22"/>
      <c r="G481" s="5"/>
      <c r="H481" s="5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5"/>
      <c r="V481" s="5"/>
      <c r="W481" s="5"/>
      <c r="X481" s="5"/>
      <c r="Y481" s="5"/>
      <c r="Z481" s="5"/>
    </row>
    <row r="482" spans="1:26" ht="14.25" customHeight="1">
      <c r="A482" s="5"/>
      <c r="B482" s="22"/>
      <c r="C482" s="22"/>
      <c r="D482" s="5"/>
      <c r="E482" s="5"/>
      <c r="F482" s="22"/>
      <c r="G482" s="5"/>
      <c r="H482" s="5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5"/>
      <c r="V482" s="5"/>
      <c r="W482" s="5"/>
      <c r="X482" s="5"/>
      <c r="Y482" s="5"/>
      <c r="Z482" s="5"/>
    </row>
    <row r="483" spans="1:26" ht="14.25" customHeight="1">
      <c r="A483" s="5"/>
      <c r="B483" s="22"/>
      <c r="C483" s="22"/>
      <c r="D483" s="5"/>
      <c r="E483" s="5"/>
      <c r="F483" s="22"/>
      <c r="G483" s="5"/>
      <c r="H483" s="5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5"/>
      <c r="V483" s="5"/>
      <c r="W483" s="5"/>
      <c r="X483" s="5"/>
      <c r="Y483" s="5"/>
      <c r="Z483" s="5"/>
    </row>
    <row r="484" spans="1:26" ht="14.25" customHeight="1">
      <c r="A484" s="5"/>
      <c r="B484" s="22"/>
      <c r="C484" s="22"/>
      <c r="D484" s="5"/>
      <c r="E484" s="5"/>
      <c r="F484" s="22"/>
      <c r="G484" s="5"/>
      <c r="H484" s="5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5"/>
      <c r="V484" s="5"/>
      <c r="W484" s="5"/>
      <c r="X484" s="5"/>
      <c r="Y484" s="5"/>
      <c r="Z484" s="5"/>
    </row>
    <row r="485" spans="1:26" ht="14.25" customHeight="1">
      <c r="A485" s="5"/>
      <c r="B485" s="22"/>
      <c r="C485" s="22"/>
      <c r="D485" s="5"/>
      <c r="E485" s="5"/>
      <c r="F485" s="22"/>
      <c r="G485" s="5"/>
      <c r="H485" s="5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5"/>
      <c r="V485" s="5"/>
      <c r="W485" s="5"/>
      <c r="X485" s="5"/>
      <c r="Y485" s="5"/>
      <c r="Z485" s="5"/>
    </row>
    <row r="486" spans="1:26" ht="14.25" customHeight="1">
      <c r="A486" s="5"/>
      <c r="B486" s="22"/>
      <c r="C486" s="22"/>
      <c r="D486" s="5"/>
      <c r="E486" s="5"/>
      <c r="F486" s="22"/>
      <c r="G486" s="5"/>
      <c r="H486" s="5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5"/>
      <c r="V486" s="5"/>
      <c r="W486" s="5"/>
      <c r="X486" s="5"/>
      <c r="Y486" s="5"/>
      <c r="Z486" s="5"/>
    </row>
    <row r="487" spans="1:26" ht="14.25" customHeight="1">
      <c r="A487" s="5"/>
      <c r="B487" s="22"/>
      <c r="C487" s="22"/>
      <c r="D487" s="5"/>
      <c r="E487" s="5"/>
      <c r="F487" s="22"/>
      <c r="G487" s="5"/>
      <c r="H487" s="5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5"/>
      <c r="V487" s="5"/>
      <c r="W487" s="5"/>
      <c r="X487" s="5"/>
      <c r="Y487" s="5"/>
      <c r="Z487" s="5"/>
    </row>
    <row r="488" spans="1:26" ht="14.25" customHeight="1">
      <c r="A488" s="5"/>
      <c r="B488" s="22"/>
      <c r="C488" s="22"/>
      <c r="D488" s="5"/>
      <c r="E488" s="5"/>
      <c r="F488" s="22"/>
      <c r="G488" s="5"/>
      <c r="H488" s="5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5"/>
      <c r="V488" s="5"/>
      <c r="W488" s="5"/>
      <c r="X488" s="5"/>
      <c r="Y488" s="5"/>
      <c r="Z488" s="5"/>
    </row>
    <row r="489" spans="1:26" ht="14.25" customHeight="1">
      <c r="A489" s="5"/>
      <c r="B489" s="22"/>
      <c r="C489" s="22"/>
      <c r="D489" s="5"/>
      <c r="E489" s="5"/>
      <c r="F489" s="22"/>
      <c r="G489" s="5"/>
      <c r="H489" s="5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5"/>
      <c r="V489" s="5"/>
      <c r="W489" s="5"/>
      <c r="X489" s="5"/>
      <c r="Y489" s="5"/>
      <c r="Z489" s="5"/>
    </row>
    <row r="490" spans="1:26" ht="14.25" customHeight="1">
      <c r="A490" s="5"/>
      <c r="B490" s="22"/>
      <c r="C490" s="22"/>
      <c r="D490" s="5"/>
      <c r="E490" s="5"/>
      <c r="F490" s="22"/>
      <c r="G490" s="5"/>
      <c r="H490" s="5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5"/>
      <c r="V490" s="5"/>
      <c r="W490" s="5"/>
      <c r="X490" s="5"/>
      <c r="Y490" s="5"/>
      <c r="Z490" s="5"/>
    </row>
    <row r="491" spans="1:26" ht="14.25" customHeight="1">
      <c r="A491" s="5"/>
      <c r="B491" s="22"/>
      <c r="C491" s="22"/>
      <c r="D491" s="5"/>
      <c r="E491" s="5"/>
      <c r="F491" s="22"/>
      <c r="G491" s="5"/>
      <c r="H491" s="5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5"/>
      <c r="V491" s="5"/>
      <c r="W491" s="5"/>
      <c r="X491" s="5"/>
      <c r="Y491" s="5"/>
      <c r="Z491" s="5"/>
    </row>
    <row r="492" spans="1:26" ht="14.25" customHeight="1">
      <c r="A492" s="5"/>
      <c r="B492" s="22"/>
      <c r="C492" s="22"/>
      <c r="D492" s="5"/>
      <c r="E492" s="5"/>
      <c r="F492" s="22"/>
      <c r="G492" s="5"/>
      <c r="H492" s="5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5"/>
      <c r="V492" s="5"/>
      <c r="W492" s="5"/>
      <c r="X492" s="5"/>
      <c r="Y492" s="5"/>
      <c r="Z492" s="5"/>
    </row>
    <row r="493" spans="1:26" ht="14.25" customHeight="1">
      <c r="A493" s="5"/>
      <c r="B493" s="22"/>
      <c r="C493" s="22"/>
      <c r="D493" s="5"/>
      <c r="E493" s="5"/>
      <c r="F493" s="22"/>
      <c r="G493" s="5"/>
      <c r="H493" s="5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5"/>
      <c r="V493" s="5"/>
      <c r="W493" s="5"/>
      <c r="X493" s="5"/>
      <c r="Y493" s="5"/>
      <c r="Z493" s="5"/>
    </row>
    <row r="494" spans="1:26" ht="14.25" customHeight="1">
      <c r="A494" s="5"/>
      <c r="B494" s="22"/>
      <c r="C494" s="22"/>
      <c r="D494" s="5"/>
      <c r="E494" s="5"/>
      <c r="F494" s="22"/>
      <c r="G494" s="5"/>
      <c r="H494" s="5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5"/>
      <c r="V494" s="5"/>
      <c r="W494" s="5"/>
      <c r="X494" s="5"/>
      <c r="Y494" s="5"/>
      <c r="Z494" s="5"/>
    </row>
    <row r="495" spans="1:26" ht="14.25" customHeight="1">
      <c r="A495" s="5"/>
      <c r="B495" s="22"/>
      <c r="C495" s="22"/>
      <c r="D495" s="5"/>
      <c r="E495" s="5"/>
      <c r="F495" s="22"/>
      <c r="G495" s="5"/>
      <c r="H495" s="5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5"/>
      <c r="V495" s="5"/>
      <c r="W495" s="5"/>
      <c r="X495" s="5"/>
      <c r="Y495" s="5"/>
      <c r="Z495" s="5"/>
    </row>
    <row r="496" spans="1:26" ht="14.25" customHeight="1">
      <c r="A496" s="5"/>
      <c r="B496" s="22"/>
      <c r="C496" s="22"/>
      <c r="D496" s="5"/>
      <c r="E496" s="5"/>
      <c r="F496" s="22"/>
      <c r="G496" s="5"/>
      <c r="H496" s="5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5"/>
      <c r="V496" s="5"/>
      <c r="W496" s="5"/>
      <c r="X496" s="5"/>
      <c r="Y496" s="5"/>
      <c r="Z496" s="5"/>
    </row>
    <row r="497" spans="1:26" ht="14.25" customHeight="1">
      <c r="A497" s="5"/>
      <c r="B497" s="22"/>
      <c r="C497" s="22"/>
      <c r="D497" s="5"/>
      <c r="E497" s="5"/>
      <c r="F497" s="22"/>
      <c r="G497" s="5"/>
      <c r="H497" s="5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5"/>
      <c r="V497" s="5"/>
      <c r="W497" s="5"/>
      <c r="X497" s="5"/>
      <c r="Y497" s="5"/>
      <c r="Z497" s="5"/>
    </row>
    <row r="498" spans="1:26" ht="14.25" customHeight="1">
      <c r="A498" s="5"/>
      <c r="B498" s="22"/>
      <c r="C498" s="22"/>
      <c r="D498" s="5"/>
      <c r="E498" s="5"/>
      <c r="F498" s="22"/>
      <c r="G498" s="5"/>
      <c r="H498" s="5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5"/>
      <c r="V498" s="5"/>
      <c r="W498" s="5"/>
      <c r="X498" s="5"/>
      <c r="Y498" s="5"/>
      <c r="Z498" s="5"/>
    </row>
    <row r="499" spans="1:26" ht="14.25" customHeight="1">
      <c r="A499" s="5"/>
      <c r="B499" s="22"/>
      <c r="C499" s="22"/>
      <c r="D499" s="5"/>
      <c r="E499" s="5"/>
      <c r="F499" s="22"/>
      <c r="G499" s="5"/>
      <c r="H499" s="5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5"/>
      <c r="V499" s="5"/>
      <c r="W499" s="5"/>
      <c r="X499" s="5"/>
      <c r="Y499" s="5"/>
      <c r="Z499" s="5"/>
    </row>
    <row r="500" spans="1:26" ht="14.25" customHeight="1">
      <c r="A500" s="5"/>
      <c r="B500" s="22"/>
      <c r="C500" s="22"/>
      <c r="D500" s="5"/>
      <c r="E500" s="5"/>
      <c r="F500" s="22"/>
      <c r="G500" s="5"/>
      <c r="H500" s="5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5"/>
      <c r="V500" s="5"/>
      <c r="W500" s="5"/>
      <c r="X500" s="5"/>
      <c r="Y500" s="5"/>
      <c r="Z500" s="5"/>
    </row>
    <row r="501" spans="1:26" ht="14.25" customHeight="1">
      <c r="A501" s="5"/>
      <c r="B501" s="22"/>
      <c r="C501" s="22"/>
      <c r="D501" s="5"/>
      <c r="E501" s="5"/>
      <c r="F501" s="22"/>
      <c r="G501" s="5"/>
      <c r="H501" s="5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5"/>
      <c r="V501" s="5"/>
      <c r="W501" s="5"/>
      <c r="X501" s="5"/>
      <c r="Y501" s="5"/>
      <c r="Z501" s="5"/>
    </row>
    <row r="502" spans="1:26" ht="14.25" customHeight="1">
      <c r="A502" s="5"/>
      <c r="B502" s="22"/>
      <c r="C502" s="22"/>
      <c r="D502" s="5"/>
      <c r="E502" s="5"/>
      <c r="F502" s="22"/>
      <c r="G502" s="5"/>
      <c r="H502" s="5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5"/>
      <c r="V502" s="5"/>
      <c r="W502" s="5"/>
      <c r="X502" s="5"/>
      <c r="Y502" s="5"/>
      <c r="Z502" s="5"/>
    </row>
    <row r="503" spans="1:26" ht="14.25" customHeight="1">
      <c r="A503" s="5"/>
      <c r="B503" s="22"/>
      <c r="C503" s="22"/>
      <c r="D503" s="5"/>
      <c r="E503" s="5"/>
      <c r="F503" s="22"/>
      <c r="G503" s="5"/>
      <c r="H503" s="5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5"/>
      <c r="V503" s="5"/>
      <c r="W503" s="5"/>
      <c r="X503" s="5"/>
      <c r="Y503" s="5"/>
      <c r="Z503" s="5"/>
    </row>
    <row r="504" spans="1:26" ht="14.25" customHeight="1">
      <c r="A504" s="5"/>
      <c r="B504" s="22"/>
      <c r="C504" s="22"/>
      <c r="D504" s="5"/>
      <c r="E504" s="5"/>
      <c r="F504" s="22"/>
      <c r="G504" s="5"/>
      <c r="H504" s="5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5"/>
      <c r="V504" s="5"/>
      <c r="W504" s="5"/>
      <c r="X504" s="5"/>
      <c r="Y504" s="5"/>
      <c r="Z504" s="5"/>
    </row>
    <row r="505" spans="1:26" ht="14.25" customHeight="1">
      <c r="A505" s="5"/>
      <c r="B505" s="22"/>
      <c r="C505" s="22"/>
      <c r="D505" s="5"/>
      <c r="E505" s="5"/>
      <c r="F505" s="22"/>
      <c r="G505" s="5"/>
      <c r="H505" s="5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5"/>
      <c r="V505" s="5"/>
      <c r="W505" s="5"/>
      <c r="X505" s="5"/>
      <c r="Y505" s="5"/>
      <c r="Z505" s="5"/>
    </row>
    <row r="506" spans="1:26" ht="14.25" customHeight="1">
      <c r="A506" s="5"/>
      <c r="B506" s="22"/>
      <c r="C506" s="22"/>
      <c r="D506" s="5"/>
      <c r="E506" s="5"/>
      <c r="F506" s="22"/>
      <c r="G506" s="5"/>
      <c r="H506" s="5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5"/>
      <c r="V506" s="5"/>
      <c r="W506" s="5"/>
      <c r="X506" s="5"/>
      <c r="Y506" s="5"/>
      <c r="Z506" s="5"/>
    </row>
    <row r="507" spans="1:26" ht="14.25" customHeight="1">
      <c r="A507" s="5"/>
      <c r="B507" s="22"/>
      <c r="C507" s="22"/>
      <c r="D507" s="5"/>
      <c r="E507" s="5"/>
      <c r="F507" s="22"/>
      <c r="G507" s="5"/>
      <c r="H507" s="5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5"/>
      <c r="V507" s="5"/>
      <c r="W507" s="5"/>
      <c r="X507" s="5"/>
      <c r="Y507" s="5"/>
      <c r="Z507" s="5"/>
    </row>
    <row r="508" spans="1:26" ht="14.25" customHeight="1">
      <c r="A508" s="5"/>
      <c r="B508" s="22"/>
      <c r="C508" s="22"/>
      <c r="D508" s="5"/>
      <c r="E508" s="5"/>
      <c r="F508" s="22"/>
      <c r="G508" s="5"/>
      <c r="H508" s="5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5"/>
      <c r="V508" s="5"/>
      <c r="W508" s="5"/>
      <c r="X508" s="5"/>
      <c r="Y508" s="5"/>
      <c r="Z508" s="5"/>
    </row>
    <row r="509" spans="1:26" ht="14.25" customHeight="1">
      <c r="A509" s="5"/>
      <c r="B509" s="22"/>
      <c r="C509" s="22"/>
      <c r="D509" s="5"/>
      <c r="E509" s="5"/>
      <c r="F509" s="22"/>
      <c r="G509" s="5"/>
      <c r="H509" s="5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5"/>
      <c r="V509" s="5"/>
      <c r="W509" s="5"/>
      <c r="X509" s="5"/>
      <c r="Y509" s="5"/>
      <c r="Z509" s="5"/>
    </row>
    <row r="510" spans="1:26" ht="14.25" customHeight="1">
      <c r="A510" s="5"/>
      <c r="B510" s="22"/>
      <c r="C510" s="22"/>
      <c r="D510" s="5"/>
      <c r="E510" s="5"/>
      <c r="F510" s="22"/>
      <c r="G510" s="5"/>
      <c r="H510" s="5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5"/>
      <c r="V510" s="5"/>
      <c r="W510" s="5"/>
      <c r="X510" s="5"/>
      <c r="Y510" s="5"/>
      <c r="Z510" s="5"/>
    </row>
    <row r="511" spans="1:26" ht="14.25" customHeight="1">
      <c r="A511" s="5"/>
      <c r="B511" s="22"/>
      <c r="C511" s="22"/>
      <c r="D511" s="5"/>
      <c r="E511" s="5"/>
      <c r="F511" s="22"/>
      <c r="G511" s="5"/>
      <c r="H511" s="5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5"/>
      <c r="V511" s="5"/>
      <c r="W511" s="5"/>
      <c r="X511" s="5"/>
      <c r="Y511" s="5"/>
      <c r="Z511" s="5"/>
    </row>
    <row r="512" spans="1:26" ht="14.25" customHeight="1">
      <c r="A512" s="5"/>
      <c r="B512" s="22"/>
      <c r="C512" s="22"/>
      <c r="D512" s="5"/>
      <c r="E512" s="5"/>
      <c r="F512" s="22"/>
      <c r="G512" s="5"/>
      <c r="H512" s="5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5"/>
      <c r="V512" s="5"/>
      <c r="W512" s="5"/>
      <c r="X512" s="5"/>
      <c r="Y512" s="5"/>
      <c r="Z512" s="5"/>
    </row>
    <row r="513" spans="1:26" ht="14.25" customHeight="1">
      <c r="A513" s="5"/>
      <c r="B513" s="22"/>
      <c r="C513" s="22"/>
      <c r="D513" s="5"/>
      <c r="E513" s="5"/>
      <c r="F513" s="22"/>
      <c r="G513" s="5"/>
      <c r="H513" s="5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5"/>
      <c r="V513" s="5"/>
      <c r="W513" s="5"/>
      <c r="X513" s="5"/>
      <c r="Y513" s="5"/>
      <c r="Z513" s="5"/>
    </row>
    <row r="514" spans="1:26" ht="14.25" customHeight="1">
      <c r="A514" s="5"/>
      <c r="B514" s="22"/>
      <c r="C514" s="22"/>
      <c r="D514" s="5"/>
      <c r="E514" s="5"/>
      <c r="F514" s="22"/>
      <c r="G514" s="5"/>
      <c r="H514" s="5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5"/>
      <c r="V514" s="5"/>
      <c r="W514" s="5"/>
      <c r="X514" s="5"/>
      <c r="Y514" s="5"/>
      <c r="Z514" s="5"/>
    </row>
    <row r="515" spans="1:26" ht="14.25" customHeight="1">
      <c r="A515" s="5"/>
      <c r="B515" s="22"/>
      <c r="C515" s="22"/>
      <c r="D515" s="5"/>
      <c r="E515" s="5"/>
      <c r="F515" s="22"/>
      <c r="G515" s="5"/>
      <c r="H515" s="5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5"/>
      <c r="V515" s="5"/>
      <c r="W515" s="5"/>
      <c r="X515" s="5"/>
      <c r="Y515" s="5"/>
      <c r="Z515" s="5"/>
    </row>
    <row r="516" spans="1:26" ht="14.25" customHeight="1">
      <c r="A516" s="5"/>
      <c r="B516" s="22"/>
      <c r="C516" s="22"/>
      <c r="D516" s="5"/>
      <c r="E516" s="5"/>
      <c r="F516" s="22"/>
      <c r="G516" s="5"/>
      <c r="H516" s="5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5"/>
      <c r="V516" s="5"/>
      <c r="W516" s="5"/>
      <c r="X516" s="5"/>
      <c r="Y516" s="5"/>
      <c r="Z516" s="5"/>
    </row>
    <row r="517" spans="1:26" ht="14.25" customHeight="1">
      <c r="A517" s="5"/>
      <c r="B517" s="22"/>
      <c r="C517" s="22"/>
      <c r="D517" s="5"/>
      <c r="E517" s="5"/>
      <c r="F517" s="22"/>
      <c r="G517" s="5"/>
      <c r="H517" s="5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5"/>
      <c r="V517" s="5"/>
      <c r="W517" s="5"/>
      <c r="X517" s="5"/>
      <c r="Y517" s="5"/>
      <c r="Z517" s="5"/>
    </row>
    <row r="518" spans="1:26" ht="14.25" customHeight="1">
      <c r="A518" s="5"/>
      <c r="B518" s="22"/>
      <c r="C518" s="22"/>
      <c r="D518" s="5"/>
      <c r="E518" s="5"/>
      <c r="F518" s="22"/>
      <c r="G518" s="5"/>
      <c r="H518" s="5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5"/>
      <c r="V518" s="5"/>
      <c r="W518" s="5"/>
      <c r="X518" s="5"/>
      <c r="Y518" s="5"/>
      <c r="Z518" s="5"/>
    </row>
    <row r="519" spans="1:26" ht="14.25" customHeight="1">
      <c r="A519" s="5"/>
      <c r="B519" s="22"/>
      <c r="C519" s="22"/>
      <c r="D519" s="5"/>
      <c r="E519" s="5"/>
      <c r="F519" s="22"/>
      <c r="G519" s="5"/>
      <c r="H519" s="5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5"/>
      <c r="V519" s="5"/>
      <c r="W519" s="5"/>
      <c r="X519" s="5"/>
      <c r="Y519" s="5"/>
      <c r="Z519" s="5"/>
    </row>
    <row r="520" spans="1:26" ht="14.25" customHeight="1">
      <c r="A520" s="5"/>
      <c r="B520" s="22"/>
      <c r="C520" s="22"/>
      <c r="D520" s="5"/>
      <c r="E520" s="5"/>
      <c r="F520" s="22"/>
      <c r="G520" s="5"/>
      <c r="H520" s="5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5"/>
      <c r="V520" s="5"/>
      <c r="W520" s="5"/>
      <c r="X520" s="5"/>
      <c r="Y520" s="5"/>
      <c r="Z520" s="5"/>
    </row>
    <row r="521" spans="1:26" ht="14.25" customHeight="1">
      <c r="A521" s="5"/>
      <c r="B521" s="22"/>
      <c r="C521" s="22"/>
      <c r="D521" s="5"/>
      <c r="E521" s="5"/>
      <c r="F521" s="22"/>
      <c r="G521" s="5"/>
      <c r="H521" s="5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5"/>
      <c r="V521" s="5"/>
      <c r="W521" s="5"/>
      <c r="X521" s="5"/>
      <c r="Y521" s="5"/>
      <c r="Z521" s="5"/>
    </row>
    <row r="522" spans="1:26" ht="14.25" customHeight="1">
      <c r="A522" s="5"/>
      <c r="B522" s="22"/>
      <c r="C522" s="22"/>
      <c r="D522" s="5"/>
      <c r="E522" s="5"/>
      <c r="F522" s="22"/>
      <c r="G522" s="5"/>
      <c r="H522" s="5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5"/>
      <c r="V522" s="5"/>
      <c r="W522" s="5"/>
      <c r="X522" s="5"/>
      <c r="Y522" s="5"/>
      <c r="Z522" s="5"/>
    </row>
    <row r="523" spans="1:26" ht="14.25" customHeight="1">
      <c r="A523" s="5"/>
      <c r="B523" s="22"/>
      <c r="C523" s="22"/>
      <c r="D523" s="5"/>
      <c r="E523" s="5"/>
      <c r="F523" s="22"/>
      <c r="G523" s="5"/>
      <c r="H523" s="5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5"/>
      <c r="V523" s="5"/>
      <c r="W523" s="5"/>
      <c r="X523" s="5"/>
      <c r="Y523" s="5"/>
      <c r="Z523" s="5"/>
    </row>
    <row r="524" spans="1:26" ht="14.25" customHeight="1">
      <c r="A524" s="5"/>
      <c r="B524" s="22"/>
      <c r="C524" s="22"/>
      <c r="D524" s="5"/>
      <c r="E524" s="5"/>
      <c r="F524" s="22"/>
      <c r="G524" s="5"/>
      <c r="H524" s="5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5"/>
      <c r="V524" s="5"/>
      <c r="W524" s="5"/>
      <c r="X524" s="5"/>
      <c r="Y524" s="5"/>
      <c r="Z524" s="5"/>
    </row>
    <row r="525" spans="1:26" ht="14.25" customHeight="1">
      <c r="A525" s="5"/>
      <c r="B525" s="22"/>
      <c r="C525" s="22"/>
      <c r="D525" s="5"/>
      <c r="E525" s="5"/>
      <c r="F525" s="22"/>
      <c r="G525" s="5"/>
      <c r="H525" s="5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5"/>
      <c r="V525" s="5"/>
      <c r="W525" s="5"/>
      <c r="X525" s="5"/>
      <c r="Y525" s="5"/>
      <c r="Z525" s="5"/>
    </row>
    <row r="526" spans="1:26" ht="14.25" customHeight="1">
      <c r="A526" s="5"/>
      <c r="B526" s="22"/>
      <c r="C526" s="22"/>
      <c r="D526" s="5"/>
      <c r="E526" s="5"/>
      <c r="F526" s="22"/>
      <c r="G526" s="5"/>
      <c r="H526" s="5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5"/>
      <c r="V526" s="5"/>
      <c r="W526" s="5"/>
      <c r="X526" s="5"/>
      <c r="Y526" s="5"/>
      <c r="Z526" s="5"/>
    </row>
    <row r="527" spans="1:26" ht="14.25" customHeight="1">
      <c r="A527" s="5"/>
      <c r="B527" s="22"/>
      <c r="C527" s="22"/>
      <c r="D527" s="5"/>
      <c r="E527" s="5"/>
      <c r="F527" s="22"/>
      <c r="G527" s="5"/>
      <c r="H527" s="5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5"/>
      <c r="V527" s="5"/>
      <c r="W527" s="5"/>
      <c r="X527" s="5"/>
      <c r="Y527" s="5"/>
      <c r="Z527" s="5"/>
    </row>
    <row r="528" spans="1:26" ht="14.25" customHeight="1">
      <c r="A528" s="5"/>
      <c r="B528" s="22"/>
      <c r="C528" s="22"/>
      <c r="D528" s="5"/>
      <c r="E528" s="5"/>
      <c r="F528" s="22"/>
      <c r="G528" s="5"/>
      <c r="H528" s="5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5"/>
      <c r="V528" s="5"/>
      <c r="W528" s="5"/>
      <c r="X528" s="5"/>
      <c r="Y528" s="5"/>
      <c r="Z528" s="5"/>
    </row>
    <row r="529" spans="1:26" ht="14.25" customHeight="1">
      <c r="A529" s="5"/>
      <c r="B529" s="22"/>
      <c r="C529" s="22"/>
      <c r="D529" s="5"/>
      <c r="E529" s="5"/>
      <c r="F529" s="22"/>
      <c r="G529" s="5"/>
      <c r="H529" s="5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5"/>
      <c r="V529" s="5"/>
      <c r="W529" s="5"/>
      <c r="X529" s="5"/>
      <c r="Y529" s="5"/>
      <c r="Z529" s="5"/>
    </row>
    <row r="530" spans="1:26" ht="14.25" customHeight="1">
      <c r="A530" s="5"/>
      <c r="B530" s="22"/>
      <c r="C530" s="22"/>
      <c r="D530" s="5"/>
      <c r="E530" s="5"/>
      <c r="F530" s="22"/>
      <c r="G530" s="5"/>
      <c r="H530" s="5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5"/>
      <c r="V530" s="5"/>
      <c r="W530" s="5"/>
      <c r="X530" s="5"/>
      <c r="Y530" s="5"/>
      <c r="Z530" s="5"/>
    </row>
    <row r="531" spans="1:26" ht="14.25" customHeight="1">
      <c r="A531" s="5"/>
      <c r="B531" s="22"/>
      <c r="C531" s="22"/>
      <c r="D531" s="5"/>
      <c r="E531" s="5"/>
      <c r="F531" s="22"/>
      <c r="G531" s="5"/>
      <c r="H531" s="5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5"/>
      <c r="V531" s="5"/>
      <c r="W531" s="5"/>
      <c r="X531" s="5"/>
      <c r="Y531" s="5"/>
      <c r="Z531" s="5"/>
    </row>
    <row r="532" spans="1:26" ht="14.25" customHeight="1">
      <c r="A532" s="5"/>
      <c r="B532" s="22"/>
      <c r="C532" s="22"/>
      <c r="D532" s="5"/>
      <c r="E532" s="5"/>
      <c r="F532" s="22"/>
      <c r="G532" s="5"/>
      <c r="H532" s="5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5"/>
      <c r="V532" s="5"/>
      <c r="W532" s="5"/>
      <c r="X532" s="5"/>
      <c r="Y532" s="5"/>
      <c r="Z532" s="5"/>
    </row>
    <row r="533" spans="1:26" ht="14.25" customHeight="1">
      <c r="A533" s="5"/>
      <c r="B533" s="22"/>
      <c r="C533" s="22"/>
      <c r="D533" s="5"/>
      <c r="E533" s="5"/>
      <c r="F533" s="22"/>
      <c r="G533" s="5"/>
      <c r="H533" s="5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5"/>
      <c r="V533" s="5"/>
      <c r="W533" s="5"/>
      <c r="X533" s="5"/>
      <c r="Y533" s="5"/>
      <c r="Z533" s="5"/>
    </row>
    <row r="534" spans="1:26" ht="14.25" customHeight="1">
      <c r="A534" s="5"/>
      <c r="B534" s="22"/>
      <c r="C534" s="22"/>
      <c r="D534" s="5"/>
      <c r="E534" s="5"/>
      <c r="F534" s="22"/>
      <c r="G534" s="5"/>
      <c r="H534" s="5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5"/>
      <c r="V534" s="5"/>
      <c r="W534" s="5"/>
      <c r="X534" s="5"/>
      <c r="Y534" s="5"/>
      <c r="Z534" s="5"/>
    </row>
    <row r="535" spans="1:26" ht="14.25" customHeight="1">
      <c r="A535" s="5"/>
      <c r="B535" s="22"/>
      <c r="C535" s="22"/>
      <c r="D535" s="5"/>
      <c r="E535" s="5"/>
      <c r="F535" s="22"/>
      <c r="G535" s="5"/>
      <c r="H535" s="5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5"/>
      <c r="V535" s="5"/>
      <c r="W535" s="5"/>
      <c r="X535" s="5"/>
      <c r="Y535" s="5"/>
      <c r="Z535" s="5"/>
    </row>
    <row r="536" spans="1:26" ht="14.25" customHeight="1">
      <c r="A536" s="5"/>
      <c r="B536" s="22"/>
      <c r="C536" s="22"/>
      <c r="D536" s="5"/>
      <c r="E536" s="5"/>
      <c r="F536" s="22"/>
      <c r="G536" s="5"/>
      <c r="H536" s="5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5"/>
      <c r="V536" s="5"/>
      <c r="W536" s="5"/>
      <c r="X536" s="5"/>
      <c r="Y536" s="5"/>
      <c r="Z536" s="5"/>
    </row>
    <row r="537" spans="1:26" ht="14.25" customHeight="1">
      <c r="A537" s="5"/>
      <c r="B537" s="22"/>
      <c r="C537" s="22"/>
      <c r="D537" s="5"/>
      <c r="E537" s="5"/>
      <c r="F537" s="22"/>
      <c r="G537" s="5"/>
      <c r="H537" s="5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5"/>
      <c r="V537" s="5"/>
      <c r="W537" s="5"/>
      <c r="X537" s="5"/>
      <c r="Y537" s="5"/>
      <c r="Z537" s="5"/>
    </row>
    <row r="538" spans="1:26" ht="14.25" customHeight="1">
      <c r="A538" s="5"/>
      <c r="B538" s="22"/>
      <c r="C538" s="22"/>
      <c r="D538" s="5"/>
      <c r="E538" s="5"/>
      <c r="F538" s="22"/>
      <c r="G538" s="5"/>
      <c r="H538" s="5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5"/>
      <c r="V538" s="5"/>
      <c r="W538" s="5"/>
      <c r="X538" s="5"/>
      <c r="Y538" s="5"/>
      <c r="Z538" s="5"/>
    </row>
    <row r="539" spans="1:26" ht="14.25" customHeight="1">
      <c r="A539" s="5"/>
      <c r="B539" s="22"/>
      <c r="C539" s="22"/>
      <c r="D539" s="5"/>
      <c r="E539" s="5"/>
      <c r="F539" s="22"/>
      <c r="G539" s="5"/>
      <c r="H539" s="5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5"/>
      <c r="V539" s="5"/>
      <c r="W539" s="5"/>
      <c r="X539" s="5"/>
      <c r="Y539" s="5"/>
      <c r="Z539" s="5"/>
    </row>
    <row r="540" spans="1:26" ht="14.25" customHeight="1">
      <c r="A540" s="5"/>
      <c r="B540" s="22"/>
      <c r="C540" s="22"/>
      <c r="D540" s="5"/>
      <c r="E540" s="5"/>
      <c r="F540" s="22"/>
      <c r="G540" s="5"/>
      <c r="H540" s="5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5"/>
      <c r="V540" s="5"/>
      <c r="W540" s="5"/>
      <c r="X540" s="5"/>
      <c r="Y540" s="5"/>
      <c r="Z540" s="5"/>
    </row>
    <row r="541" spans="1:26" ht="14.25" customHeight="1">
      <c r="A541" s="5"/>
      <c r="B541" s="22"/>
      <c r="C541" s="22"/>
      <c r="D541" s="5"/>
      <c r="E541" s="5"/>
      <c r="F541" s="22"/>
      <c r="G541" s="5"/>
      <c r="H541" s="5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5"/>
      <c r="V541" s="5"/>
      <c r="W541" s="5"/>
      <c r="X541" s="5"/>
      <c r="Y541" s="5"/>
      <c r="Z541" s="5"/>
    </row>
    <row r="542" spans="1:26" ht="14.25" customHeight="1">
      <c r="A542" s="5"/>
      <c r="B542" s="22"/>
      <c r="C542" s="22"/>
      <c r="D542" s="5"/>
      <c r="E542" s="5"/>
      <c r="F542" s="22"/>
      <c r="G542" s="5"/>
      <c r="H542" s="5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5"/>
      <c r="V542" s="5"/>
      <c r="W542" s="5"/>
      <c r="X542" s="5"/>
      <c r="Y542" s="5"/>
      <c r="Z542" s="5"/>
    </row>
    <row r="543" spans="1:26" ht="14.25" customHeight="1">
      <c r="A543" s="5"/>
      <c r="B543" s="22"/>
      <c r="C543" s="22"/>
      <c r="D543" s="5"/>
      <c r="E543" s="5"/>
      <c r="F543" s="22"/>
      <c r="G543" s="5"/>
      <c r="H543" s="5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5"/>
      <c r="V543" s="5"/>
      <c r="W543" s="5"/>
      <c r="X543" s="5"/>
      <c r="Y543" s="5"/>
      <c r="Z543" s="5"/>
    </row>
    <row r="544" spans="1:26" ht="14.25" customHeight="1">
      <c r="A544" s="5"/>
      <c r="B544" s="22"/>
      <c r="C544" s="22"/>
      <c r="D544" s="5"/>
      <c r="E544" s="5"/>
      <c r="F544" s="22"/>
      <c r="G544" s="5"/>
      <c r="H544" s="5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5"/>
      <c r="V544" s="5"/>
      <c r="W544" s="5"/>
      <c r="X544" s="5"/>
      <c r="Y544" s="5"/>
      <c r="Z544" s="5"/>
    </row>
    <row r="545" spans="1:26" ht="14.25" customHeight="1">
      <c r="A545" s="5"/>
      <c r="B545" s="22"/>
      <c r="C545" s="22"/>
      <c r="D545" s="5"/>
      <c r="E545" s="5"/>
      <c r="F545" s="22"/>
      <c r="G545" s="5"/>
      <c r="H545" s="5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5"/>
      <c r="V545" s="5"/>
      <c r="W545" s="5"/>
      <c r="X545" s="5"/>
      <c r="Y545" s="5"/>
      <c r="Z545" s="5"/>
    </row>
    <row r="546" spans="1:26" ht="14.25" customHeight="1">
      <c r="A546" s="5"/>
      <c r="B546" s="22"/>
      <c r="C546" s="22"/>
      <c r="D546" s="5"/>
      <c r="E546" s="5"/>
      <c r="F546" s="22"/>
      <c r="G546" s="5"/>
      <c r="H546" s="5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5"/>
      <c r="V546" s="5"/>
      <c r="W546" s="5"/>
      <c r="X546" s="5"/>
      <c r="Y546" s="5"/>
      <c r="Z546" s="5"/>
    </row>
    <row r="547" spans="1:26" ht="14.25" customHeight="1">
      <c r="A547" s="5"/>
      <c r="B547" s="22"/>
      <c r="C547" s="22"/>
      <c r="D547" s="5"/>
      <c r="E547" s="5"/>
      <c r="F547" s="22"/>
      <c r="G547" s="5"/>
      <c r="H547" s="5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5"/>
      <c r="V547" s="5"/>
      <c r="W547" s="5"/>
      <c r="X547" s="5"/>
      <c r="Y547" s="5"/>
      <c r="Z547" s="5"/>
    </row>
    <row r="548" spans="1:26" ht="14.25" customHeight="1">
      <c r="A548" s="5"/>
      <c r="B548" s="22"/>
      <c r="C548" s="22"/>
      <c r="D548" s="5"/>
      <c r="E548" s="5"/>
      <c r="F548" s="22"/>
      <c r="G548" s="5"/>
      <c r="H548" s="5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5"/>
      <c r="V548" s="5"/>
      <c r="W548" s="5"/>
      <c r="X548" s="5"/>
      <c r="Y548" s="5"/>
      <c r="Z548" s="5"/>
    </row>
    <row r="549" spans="1:26" ht="14.25" customHeight="1">
      <c r="A549" s="5"/>
      <c r="B549" s="22"/>
      <c r="C549" s="22"/>
      <c r="D549" s="5"/>
      <c r="E549" s="5"/>
      <c r="F549" s="22"/>
      <c r="G549" s="5"/>
      <c r="H549" s="5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5"/>
      <c r="V549" s="5"/>
      <c r="W549" s="5"/>
      <c r="X549" s="5"/>
      <c r="Y549" s="5"/>
      <c r="Z549" s="5"/>
    </row>
    <row r="550" spans="1:26" ht="14.25" customHeight="1">
      <c r="A550" s="5"/>
      <c r="B550" s="22"/>
      <c r="C550" s="22"/>
      <c r="D550" s="5"/>
      <c r="E550" s="5"/>
      <c r="F550" s="22"/>
      <c r="G550" s="5"/>
      <c r="H550" s="5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5"/>
      <c r="V550" s="5"/>
      <c r="W550" s="5"/>
      <c r="X550" s="5"/>
      <c r="Y550" s="5"/>
      <c r="Z550" s="5"/>
    </row>
    <row r="551" spans="1:26" ht="14.25" customHeight="1">
      <c r="A551" s="5"/>
      <c r="B551" s="22"/>
      <c r="C551" s="22"/>
      <c r="D551" s="5"/>
      <c r="E551" s="5"/>
      <c r="F551" s="22"/>
      <c r="G551" s="5"/>
      <c r="H551" s="5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5"/>
      <c r="V551" s="5"/>
      <c r="W551" s="5"/>
      <c r="X551" s="5"/>
      <c r="Y551" s="5"/>
      <c r="Z551" s="5"/>
    </row>
    <row r="552" spans="1:26" ht="14.25" customHeight="1">
      <c r="A552" s="5"/>
      <c r="B552" s="22"/>
      <c r="C552" s="22"/>
      <c r="D552" s="5"/>
      <c r="E552" s="5"/>
      <c r="F552" s="22"/>
      <c r="G552" s="5"/>
      <c r="H552" s="5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5"/>
      <c r="V552" s="5"/>
      <c r="W552" s="5"/>
      <c r="X552" s="5"/>
      <c r="Y552" s="5"/>
      <c r="Z552" s="5"/>
    </row>
    <row r="553" spans="1:26" ht="14.25" customHeight="1">
      <c r="A553" s="5"/>
      <c r="B553" s="22"/>
      <c r="C553" s="22"/>
      <c r="D553" s="5"/>
      <c r="E553" s="5"/>
      <c r="F553" s="22"/>
      <c r="G553" s="5"/>
      <c r="H553" s="5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5"/>
      <c r="V553" s="5"/>
      <c r="W553" s="5"/>
      <c r="X553" s="5"/>
      <c r="Y553" s="5"/>
      <c r="Z553" s="5"/>
    </row>
    <row r="554" spans="1:26" ht="14.25" customHeight="1">
      <c r="A554" s="5"/>
      <c r="B554" s="22"/>
      <c r="C554" s="22"/>
      <c r="D554" s="5"/>
      <c r="E554" s="5"/>
      <c r="F554" s="22"/>
      <c r="G554" s="5"/>
      <c r="H554" s="5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5"/>
      <c r="V554" s="5"/>
      <c r="W554" s="5"/>
      <c r="X554" s="5"/>
      <c r="Y554" s="5"/>
      <c r="Z554" s="5"/>
    </row>
    <row r="555" spans="1:26" ht="14.25" customHeight="1">
      <c r="A555" s="5"/>
      <c r="B555" s="22"/>
      <c r="C555" s="22"/>
      <c r="D555" s="5"/>
      <c r="E555" s="5"/>
      <c r="F555" s="22"/>
      <c r="G555" s="5"/>
      <c r="H555" s="5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5"/>
      <c r="V555" s="5"/>
      <c r="W555" s="5"/>
      <c r="X555" s="5"/>
      <c r="Y555" s="5"/>
      <c r="Z555" s="5"/>
    </row>
    <row r="556" spans="1:26" ht="14.25" customHeight="1">
      <c r="A556" s="5"/>
      <c r="B556" s="22"/>
      <c r="C556" s="22"/>
      <c r="D556" s="5"/>
      <c r="E556" s="5"/>
      <c r="F556" s="22"/>
      <c r="G556" s="5"/>
      <c r="H556" s="5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5"/>
      <c r="V556" s="5"/>
      <c r="W556" s="5"/>
      <c r="X556" s="5"/>
      <c r="Y556" s="5"/>
      <c r="Z556" s="5"/>
    </row>
    <row r="557" spans="1:26" ht="14.25" customHeight="1">
      <c r="A557" s="5"/>
      <c r="B557" s="22"/>
      <c r="C557" s="22"/>
      <c r="D557" s="5"/>
      <c r="E557" s="5"/>
      <c r="F557" s="22"/>
      <c r="G557" s="5"/>
      <c r="H557" s="5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5"/>
      <c r="V557" s="5"/>
      <c r="W557" s="5"/>
      <c r="X557" s="5"/>
      <c r="Y557" s="5"/>
      <c r="Z557" s="5"/>
    </row>
    <row r="558" spans="1:26" ht="14.25" customHeight="1">
      <c r="A558" s="5"/>
      <c r="B558" s="22"/>
      <c r="C558" s="22"/>
      <c r="D558" s="5"/>
      <c r="E558" s="5"/>
      <c r="F558" s="22"/>
      <c r="G558" s="5"/>
      <c r="H558" s="5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5"/>
      <c r="V558" s="5"/>
      <c r="W558" s="5"/>
      <c r="X558" s="5"/>
      <c r="Y558" s="5"/>
      <c r="Z558" s="5"/>
    </row>
    <row r="559" spans="1:26" ht="14.25" customHeight="1">
      <c r="A559" s="5"/>
      <c r="B559" s="22"/>
      <c r="C559" s="22"/>
      <c r="D559" s="5"/>
      <c r="E559" s="5"/>
      <c r="F559" s="22"/>
      <c r="G559" s="5"/>
      <c r="H559" s="5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5"/>
      <c r="V559" s="5"/>
      <c r="W559" s="5"/>
      <c r="X559" s="5"/>
      <c r="Y559" s="5"/>
      <c r="Z559" s="5"/>
    </row>
    <row r="560" spans="1:26" ht="14.25" customHeight="1">
      <c r="A560" s="5"/>
      <c r="B560" s="22"/>
      <c r="C560" s="22"/>
      <c r="D560" s="5"/>
      <c r="E560" s="5"/>
      <c r="F560" s="22"/>
      <c r="G560" s="5"/>
      <c r="H560" s="5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5"/>
      <c r="V560" s="5"/>
      <c r="W560" s="5"/>
      <c r="X560" s="5"/>
      <c r="Y560" s="5"/>
      <c r="Z560" s="5"/>
    </row>
    <row r="561" spans="1:26" ht="14.25" customHeight="1">
      <c r="A561" s="5"/>
      <c r="B561" s="22"/>
      <c r="C561" s="22"/>
      <c r="D561" s="5"/>
      <c r="E561" s="5"/>
      <c r="F561" s="22"/>
      <c r="G561" s="5"/>
      <c r="H561" s="5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5"/>
      <c r="V561" s="5"/>
      <c r="W561" s="5"/>
      <c r="X561" s="5"/>
      <c r="Y561" s="5"/>
      <c r="Z561" s="5"/>
    </row>
    <row r="562" spans="1:26" ht="14.25" customHeight="1">
      <c r="A562" s="5"/>
      <c r="B562" s="22"/>
      <c r="C562" s="22"/>
      <c r="D562" s="5"/>
      <c r="E562" s="5"/>
      <c r="F562" s="22"/>
      <c r="G562" s="5"/>
      <c r="H562" s="5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5"/>
      <c r="V562" s="5"/>
      <c r="W562" s="5"/>
      <c r="X562" s="5"/>
      <c r="Y562" s="5"/>
      <c r="Z562" s="5"/>
    </row>
    <row r="563" spans="1:26" ht="14.25" customHeight="1">
      <c r="A563" s="5"/>
      <c r="B563" s="22"/>
      <c r="C563" s="22"/>
      <c r="D563" s="5"/>
      <c r="E563" s="5"/>
      <c r="F563" s="22"/>
      <c r="G563" s="5"/>
      <c r="H563" s="5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5"/>
      <c r="V563" s="5"/>
      <c r="W563" s="5"/>
      <c r="X563" s="5"/>
      <c r="Y563" s="5"/>
      <c r="Z563" s="5"/>
    </row>
    <row r="564" spans="1:26" ht="14.25" customHeight="1">
      <c r="A564" s="5"/>
      <c r="B564" s="22"/>
      <c r="C564" s="22"/>
      <c r="D564" s="5"/>
      <c r="E564" s="5"/>
      <c r="F564" s="22"/>
      <c r="G564" s="5"/>
      <c r="H564" s="5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5"/>
      <c r="V564" s="5"/>
      <c r="W564" s="5"/>
      <c r="X564" s="5"/>
      <c r="Y564" s="5"/>
      <c r="Z564" s="5"/>
    </row>
    <row r="565" spans="1:26" ht="14.25" customHeight="1">
      <c r="A565" s="5"/>
      <c r="B565" s="22"/>
      <c r="C565" s="22"/>
      <c r="D565" s="5"/>
      <c r="E565" s="5"/>
      <c r="F565" s="22"/>
      <c r="G565" s="5"/>
      <c r="H565" s="5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5"/>
      <c r="V565" s="5"/>
      <c r="W565" s="5"/>
      <c r="X565" s="5"/>
      <c r="Y565" s="5"/>
      <c r="Z565" s="5"/>
    </row>
    <row r="566" spans="1:26" ht="14.25" customHeight="1">
      <c r="A566" s="5"/>
      <c r="B566" s="22"/>
      <c r="C566" s="22"/>
      <c r="D566" s="5"/>
      <c r="E566" s="5"/>
      <c r="F566" s="22"/>
      <c r="G566" s="5"/>
      <c r="H566" s="5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5"/>
      <c r="V566" s="5"/>
      <c r="W566" s="5"/>
      <c r="X566" s="5"/>
      <c r="Y566" s="5"/>
      <c r="Z566" s="5"/>
    </row>
    <row r="567" spans="1:26" ht="14.25" customHeight="1">
      <c r="A567" s="5"/>
      <c r="B567" s="22"/>
      <c r="C567" s="22"/>
      <c r="D567" s="5"/>
      <c r="E567" s="5"/>
      <c r="F567" s="22"/>
      <c r="G567" s="5"/>
      <c r="H567" s="5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5"/>
      <c r="V567" s="5"/>
      <c r="W567" s="5"/>
      <c r="X567" s="5"/>
      <c r="Y567" s="5"/>
      <c r="Z567" s="5"/>
    </row>
    <row r="568" spans="1:26" ht="14.25" customHeight="1">
      <c r="A568" s="5"/>
      <c r="B568" s="22"/>
      <c r="C568" s="22"/>
      <c r="D568" s="5"/>
      <c r="E568" s="5"/>
      <c r="F568" s="22"/>
      <c r="G568" s="5"/>
      <c r="H568" s="5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5"/>
      <c r="V568" s="5"/>
      <c r="W568" s="5"/>
      <c r="X568" s="5"/>
      <c r="Y568" s="5"/>
      <c r="Z568" s="5"/>
    </row>
    <row r="569" spans="1:26" ht="14.25" customHeight="1">
      <c r="A569" s="5"/>
      <c r="B569" s="22"/>
      <c r="C569" s="22"/>
      <c r="D569" s="5"/>
      <c r="E569" s="5"/>
      <c r="F569" s="22"/>
      <c r="G569" s="5"/>
      <c r="H569" s="5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5"/>
      <c r="V569" s="5"/>
      <c r="W569" s="5"/>
      <c r="X569" s="5"/>
      <c r="Y569" s="5"/>
      <c r="Z569" s="5"/>
    </row>
    <row r="570" spans="1:26" ht="14.25" customHeight="1">
      <c r="A570" s="5"/>
      <c r="B570" s="22"/>
      <c r="C570" s="22"/>
      <c r="D570" s="5"/>
      <c r="E570" s="5"/>
      <c r="F570" s="22"/>
      <c r="G570" s="5"/>
      <c r="H570" s="5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5"/>
      <c r="V570" s="5"/>
      <c r="W570" s="5"/>
      <c r="X570" s="5"/>
      <c r="Y570" s="5"/>
      <c r="Z570" s="5"/>
    </row>
    <row r="571" spans="1:26" ht="14.25" customHeight="1">
      <c r="A571" s="5"/>
      <c r="B571" s="22"/>
      <c r="C571" s="22"/>
      <c r="D571" s="5"/>
      <c r="E571" s="5"/>
      <c r="F571" s="22"/>
      <c r="G571" s="5"/>
      <c r="H571" s="5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5"/>
      <c r="V571" s="5"/>
      <c r="W571" s="5"/>
      <c r="X571" s="5"/>
      <c r="Y571" s="5"/>
      <c r="Z571" s="5"/>
    </row>
    <row r="572" spans="1:26" ht="14.25" customHeight="1">
      <c r="A572" s="5"/>
      <c r="B572" s="22"/>
      <c r="C572" s="22"/>
      <c r="D572" s="5"/>
      <c r="E572" s="5"/>
      <c r="F572" s="22"/>
      <c r="G572" s="5"/>
      <c r="H572" s="5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5"/>
      <c r="V572" s="5"/>
      <c r="W572" s="5"/>
      <c r="X572" s="5"/>
      <c r="Y572" s="5"/>
      <c r="Z572" s="5"/>
    </row>
    <row r="573" spans="1:26" ht="14.25" customHeight="1">
      <c r="A573" s="5"/>
      <c r="B573" s="22"/>
      <c r="C573" s="22"/>
      <c r="D573" s="5"/>
      <c r="E573" s="5"/>
      <c r="F573" s="22"/>
      <c r="G573" s="5"/>
      <c r="H573" s="5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5"/>
      <c r="V573" s="5"/>
      <c r="W573" s="5"/>
      <c r="X573" s="5"/>
      <c r="Y573" s="5"/>
      <c r="Z573" s="5"/>
    </row>
    <row r="574" spans="1:26" ht="14.25" customHeight="1">
      <c r="A574" s="5"/>
      <c r="B574" s="22"/>
      <c r="C574" s="22"/>
      <c r="D574" s="5"/>
      <c r="E574" s="5"/>
      <c r="F574" s="22"/>
      <c r="G574" s="5"/>
      <c r="H574" s="5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5"/>
      <c r="V574" s="5"/>
      <c r="W574" s="5"/>
      <c r="X574" s="5"/>
      <c r="Y574" s="5"/>
      <c r="Z574" s="5"/>
    </row>
    <row r="575" spans="1:26" ht="14.25" customHeight="1">
      <c r="A575" s="5"/>
      <c r="B575" s="22"/>
      <c r="C575" s="22"/>
      <c r="D575" s="5"/>
      <c r="E575" s="5"/>
      <c r="F575" s="22"/>
      <c r="G575" s="5"/>
      <c r="H575" s="5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5"/>
      <c r="V575" s="5"/>
      <c r="W575" s="5"/>
      <c r="X575" s="5"/>
      <c r="Y575" s="5"/>
      <c r="Z575" s="5"/>
    </row>
    <row r="576" spans="1:26" ht="14.25" customHeight="1">
      <c r="A576" s="5"/>
      <c r="B576" s="22"/>
      <c r="C576" s="22"/>
      <c r="D576" s="5"/>
      <c r="E576" s="5"/>
      <c r="F576" s="22"/>
      <c r="G576" s="5"/>
      <c r="H576" s="5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5"/>
      <c r="V576" s="5"/>
      <c r="W576" s="5"/>
      <c r="X576" s="5"/>
      <c r="Y576" s="5"/>
      <c r="Z576" s="5"/>
    </row>
    <row r="577" spans="1:26" ht="14.25" customHeight="1">
      <c r="A577" s="5"/>
      <c r="B577" s="22"/>
      <c r="C577" s="22"/>
      <c r="D577" s="5"/>
      <c r="E577" s="5"/>
      <c r="F577" s="22"/>
      <c r="G577" s="5"/>
      <c r="H577" s="5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5"/>
      <c r="V577" s="5"/>
      <c r="W577" s="5"/>
      <c r="X577" s="5"/>
      <c r="Y577" s="5"/>
      <c r="Z577" s="5"/>
    </row>
    <row r="578" spans="1:26" ht="14.25" customHeight="1">
      <c r="A578" s="5"/>
      <c r="B578" s="22"/>
      <c r="C578" s="22"/>
      <c r="D578" s="5"/>
      <c r="E578" s="5"/>
      <c r="F578" s="22"/>
      <c r="G578" s="5"/>
      <c r="H578" s="5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5"/>
      <c r="V578" s="5"/>
      <c r="W578" s="5"/>
      <c r="X578" s="5"/>
      <c r="Y578" s="5"/>
      <c r="Z578" s="5"/>
    </row>
    <row r="579" spans="1:26" ht="14.25" customHeight="1">
      <c r="A579" s="5"/>
      <c r="B579" s="22"/>
      <c r="C579" s="22"/>
      <c r="D579" s="5"/>
      <c r="E579" s="5"/>
      <c r="F579" s="22"/>
      <c r="G579" s="5"/>
      <c r="H579" s="5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5"/>
      <c r="V579" s="5"/>
      <c r="W579" s="5"/>
      <c r="X579" s="5"/>
      <c r="Y579" s="5"/>
      <c r="Z579" s="5"/>
    </row>
    <row r="580" spans="1:26" ht="14.25" customHeight="1">
      <c r="A580" s="5"/>
      <c r="B580" s="22"/>
      <c r="C580" s="22"/>
      <c r="D580" s="5"/>
      <c r="E580" s="5"/>
      <c r="F580" s="22"/>
      <c r="G580" s="5"/>
      <c r="H580" s="5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5"/>
      <c r="V580" s="5"/>
      <c r="W580" s="5"/>
      <c r="X580" s="5"/>
      <c r="Y580" s="5"/>
      <c r="Z580" s="5"/>
    </row>
    <row r="581" spans="1:26" ht="14.25" customHeight="1">
      <c r="A581" s="5"/>
      <c r="B581" s="22"/>
      <c r="C581" s="22"/>
      <c r="D581" s="5"/>
      <c r="E581" s="5"/>
      <c r="F581" s="22"/>
      <c r="G581" s="5"/>
      <c r="H581" s="5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5"/>
      <c r="V581" s="5"/>
      <c r="W581" s="5"/>
      <c r="X581" s="5"/>
      <c r="Y581" s="5"/>
      <c r="Z581" s="5"/>
    </row>
    <row r="582" spans="1:26" ht="14.25" customHeight="1">
      <c r="A582" s="5"/>
      <c r="B582" s="22"/>
      <c r="C582" s="22"/>
      <c r="D582" s="5"/>
      <c r="E582" s="5"/>
      <c r="F582" s="22"/>
      <c r="G582" s="5"/>
      <c r="H582" s="5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5"/>
      <c r="V582" s="5"/>
      <c r="W582" s="5"/>
      <c r="X582" s="5"/>
      <c r="Y582" s="5"/>
      <c r="Z582" s="5"/>
    </row>
    <row r="583" spans="1:26" ht="14.25" customHeight="1">
      <c r="A583" s="5"/>
      <c r="B583" s="22"/>
      <c r="C583" s="22"/>
      <c r="D583" s="5"/>
      <c r="E583" s="5"/>
      <c r="F583" s="22"/>
      <c r="G583" s="5"/>
      <c r="H583" s="5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5"/>
      <c r="V583" s="5"/>
      <c r="W583" s="5"/>
      <c r="X583" s="5"/>
      <c r="Y583" s="5"/>
      <c r="Z583" s="5"/>
    </row>
    <row r="584" spans="1:26" ht="14.25" customHeight="1">
      <c r="A584" s="5"/>
      <c r="B584" s="22"/>
      <c r="C584" s="22"/>
      <c r="D584" s="5"/>
      <c r="E584" s="5"/>
      <c r="F584" s="22"/>
      <c r="G584" s="5"/>
      <c r="H584" s="5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5"/>
      <c r="V584" s="5"/>
      <c r="W584" s="5"/>
      <c r="X584" s="5"/>
      <c r="Y584" s="5"/>
      <c r="Z584" s="5"/>
    </row>
    <row r="585" spans="1:26" ht="14.25" customHeight="1">
      <c r="A585" s="5"/>
      <c r="B585" s="22"/>
      <c r="C585" s="22"/>
      <c r="D585" s="5"/>
      <c r="E585" s="5"/>
      <c r="F585" s="22"/>
      <c r="G585" s="5"/>
      <c r="H585" s="5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5"/>
      <c r="V585" s="5"/>
      <c r="W585" s="5"/>
      <c r="X585" s="5"/>
      <c r="Y585" s="5"/>
      <c r="Z585" s="5"/>
    </row>
    <row r="586" spans="1:26" ht="14.25" customHeight="1">
      <c r="A586" s="5"/>
      <c r="B586" s="22"/>
      <c r="C586" s="22"/>
      <c r="D586" s="5"/>
      <c r="E586" s="5"/>
      <c r="F586" s="22"/>
      <c r="G586" s="5"/>
      <c r="H586" s="5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5"/>
      <c r="V586" s="5"/>
      <c r="W586" s="5"/>
      <c r="X586" s="5"/>
      <c r="Y586" s="5"/>
      <c r="Z586" s="5"/>
    </row>
    <row r="587" spans="1:26" ht="14.25" customHeight="1">
      <c r="A587" s="5"/>
      <c r="B587" s="22"/>
      <c r="C587" s="22"/>
      <c r="D587" s="5"/>
      <c r="E587" s="5"/>
      <c r="F587" s="22"/>
      <c r="G587" s="5"/>
      <c r="H587" s="5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5"/>
      <c r="V587" s="5"/>
      <c r="W587" s="5"/>
      <c r="X587" s="5"/>
      <c r="Y587" s="5"/>
      <c r="Z587" s="5"/>
    </row>
    <row r="588" spans="1:26" ht="14.25" customHeight="1">
      <c r="A588" s="5"/>
      <c r="B588" s="22"/>
      <c r="C588" s="22"/>
      <c r="D588" s="5"/>
      <c r="E588" s="5"/>
      <c r="F588" s="22"/>
      <c r="G588" s="5"/>
      <c r="H588" s="5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5"/>
      <c r="V588" s="5"/>
      <c r="W588" s="5"/>
      <c r="X588" s="5"/>
      <c r="Y588" s="5"/>
      <c r="Z588" s="5"/>
    </row>
    <row r="589" spans="1:26" ht="14.25" customHeight="1">
      <c r="A589" s="5"/>
      <c r="B589" s="22"/>
      <c r="C589" s="22"/>
      <c r="D589" s="5"/>
      <c r="E589" s="5"/>
      <c r="F589" s="22"/>
      <c r="G589" s="5"/>
      <c r="H589" s="5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5"/>
      <c r="V589" s="5"/>
      <c r="W589" s="5"/>
      <c r="X589" s="5"/>
      <c r="Y589" s="5"/>
      <c r="Z589" s="5"/>
    </row>
    <row r="590" spans="1:26" ht="14.25" customHeight="1">
      <c r="A590" s="5"/>
      <c r="B590" s="22"/>
      <c r="C590" s="22"/>
      <c r="D590" s="5"/>
      <c r="E590" s="5"/>
      <c r="F590" s="22"/>
      <c r="G590" s="5"/>
      <c r="H590" s="5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5"/>
      <c r="V590" s="5"/>
      <c r="W590" s="5"/>
      <c r="X590" s="5"/>
      <c r="Y590" s="5"/>
      <c r="Z590" s="5"/>
    </row>
    <row r="591" spans="1:26" ht="14.25" customHeight="1">
      <c r="A591" s="5"/>
      <c r="B591" s="22"/>
      <c r="C591" s="22"/>
      <c r="D591" s="5"/>
      <c r="E591" s="5"/>
      <c r="F591" s="22"/>
      <c r="G591" s="5"/>
      <c r="H591" s="5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5"/>
      <c r="V591" s="5"/>
      <c r="W591" s="5"/>
      <c r="X591" s="5"/>
      <c r="Y591" s="5"/>
      <c r="Z591" s="5"/>
    </row>
    <row r="592" spans="1:26" ht="14.25" customHeight="1">
      <c r="A592" s="5"/>
      <c r="B592" s="22"/>
      <c r="C592" s="22"/>
      <c r="D592" s="5"/>
      <c r="E592" s="5"/>
      <c r="F592" s="22"/>
      <c r="G592" s="5"/>
      <c r="H592" s="5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5"/>
      <c r="V592" s="5"/>
      <c r="W592" s="5"/>
      <c r="X592" s="5"/>
      <c r="Y592" s="5"/>
      <c r="Z592" s="5"/>
    </row>
    <row r="593" spans="1:26" ht="14.25" customHeight="1">
      <c r="A593" s="5"/>
      <c r="B593" s="22"/>
      <c r="C593" s="22"/>
      <c r="D593" s="5"/>
      <c r="E593" s="5"/>
      <c r="F593" s="22"/>
      <c r="G593" s="5"/>
      <c r="H593" s="5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5"/>
      <c r="V593" s="5"/>
      <c r="W593" s="5"/>
      <c r="X593" s="5"/>
      <c r="Y593" s="5"/>
      <c r="Z593" s="5"/>
    </row>
    <row r="594" spans="1:26" ht="14.25" customHeight="1">
      <c r="A594" s="5"/>
      <c r="B594" s="22"/>
      <c r="C594" s="22"/>
      <c r="D594" s="5"/>
      <c r="E594" s="5"/>
      <c r="F594" s="22"/>
      <c r="G594" s="5"/>
      <c r="H594" s="5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5"/>
      <c r="V594" s="5"/>
      <c r="W594" s="5"/>
      <c r="X594" s="5"/>
      <c r="Y594" s="5"/>
      <c r="Z594" s="5"/>
    </row>
    <row r="595" spans="1:26" ht="14.25" customHeight="1">
      <c r="A595" s="5"/>
      <c r="B595" s="22"/>
      <c r="C595" s="22"/>
      <c r="D595" s="5"/>
      <c r="E595" s="5"/>
      <c r="F595" s="22"/>
      <c r="G595" s="5"/>
      <c r="H595" s="5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5"/>
      <c r="V595" s="5"/>
      <c r="W595" s="5"/>
      <c r="X595" s="5"/>
      <c r="Y595" s="5"/>
      <c r="Z595" s="5"/>
    </row>
    <row r="596" spans="1:26" ht="14.25" customHeight="1">
      <c r="A596" s="5"/>
      <c r="B596" s="22"/>
      <c r="C596" s="22"/>
      <c r="D596" s="5"/>
      <c r="E596" s="5"/>
      <c r="F596" s="22"/>
      <c r="G596" s="5"/>
      <c r="H596" s="5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5"/>
      <c r="V596" s="5"/>
      <c r="W596" s="5"/>
      <c r="X596" s="5"/>
      <c r="Y596" s="5"/>
      <c r="Z596" s="5"/>
    </row>
    <row r="597" spans="1:26" ht="14.25" customHeight="1">
      <c r="A597" s="5"/>
      <c r="B597" s="22"/>
      <c r="C597" s="22"/>
      <c r="D597" s="5"/>
      <c r="E597" s="5"/>
      <c r="F597" s="22"/>
      <c r="G597" s="5"/>
      <c r="H597" s="5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5"/>
      <c r="V597" s="5"/>
      <c r="W597" s="5"/>
      <c r="X597" s="5"/>
      <c r="Y597" s="5"/>
      <c r="Z597" s="5"/>
    </row>
    <row r="598" spans="1:26" ht="14.25" customHeight="1">
      <c r="A598" s="5"/>
      <c r="B598" s="22"/>
      <c r="C598" s="22"/>
      <c r="D598" s="5"/>
      <c r="E598" s="5"/>
      <c r="F598" s="22"/>
      <c r="G598" s="5"/>
      <c r="H598" s="5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5"/>
      <c r="V598" s="5"/>
      <c r="W598" s="5"/>
      <c r="X598" s="5"/>
      <c r="Y598" s="5"/>
      <c r="Z598" s="5"/>
    </row>
    <row r="599" spans="1:26" ht="14.25" customHeight="1">
      <c r="A599" s="5"/>
      <c r="B599" s="22"/>
      <c r="C599" s="22"/>
      <c r="D599" s="5"/>
      <c r="E599" s="5"/>
      <c r="F599" s="22"/>
      <c r="G599" s="5"/>
      <c r="H599" s="5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5"/>
      <c r="V599" s="5"/>
      <c r="W599" s="5"/>
      <c r="X599" s="5"/>
      <c r="Y599" s="5"/>
      <c r="Z599" s="5"/>
    </row>
    <row r="600" spans="1:26" ht="14.25" customHeight="1">
      <c r="A600" s="5"/>
      <c r="B600" s="22"/>
      <c r="C600" s="22"/>
      <c r="D600" s="5"/>
      <c r="E600" s="5"/>
      <c r="F600" s="22"/>
      <c r="G600" s="5"/>
      <c r="H600" s="5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5"/>
      <c r="V600" s="5"/>
      <c r="W600" s="5"/>
      <c r="X600" s="5"/>
      <c r="Y600" s="5"/>
      <c r="Z600" s="5"/>
    </row>
    <row r="601" spans="1:26" ht="14.25" customHeight="1">
      <c r="A601" s="5"/>
      <c r="B601" s="22"/>
      <c r="C601" s="22"/>
      <c r="D601" s="5"/>
      <c r="E601" s="5"/>
      <c r="F601" s="22"/>
      <c r="G601" s="5"/>
      <c r="H601" s="5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5"/>
      <c r="V601" s="5"/>
      <c r="W601" s="5"/>
      <c r="X601" s="5"/>
      <c r="Y601" s="5"/>
      <c r="Z601" s="5"/>
    </row>
    <row r="602" spans="1:26" ht="14.25" customHeight="1">
      <c r="A602" s="5"/>
      <c r="B602" s="22"/>
      <c r="C602" s="22"/>
      <c r="D602" s="5"/>
      <c r="E602" s="5"/>
      <c r="F602" s="22"/>
      <c r="G602" s="5"/>
      <c r="H602" s="5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5"/>
      <c r="V602" s="5"/>
      <c r="W602" s="5"/>
      <c r="X602" s="5"/>
      <c r="Y602" s="5"/>
      <c r="Z602" s="5"/>
    </row>
    <row r="603" spans="1:26" ht="14.25" customHeight="1">
      <c r="A603" s="5"/>
      <c r="B603" s="22"/>
      <c r="C603" s="22"/>
      <c r="D603" s="5"/>
      <c r="E603" s="5"/>
      <c r="F603" s="22"/>
      <c r="G603" s="5"/>
      <c r="H603" s="5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5"/>
      <c r="V603" s="5"/>
      <c r="W603" s="5"/>
      <c r="X603" s="5"/>
      <c r="Y603" s="5"/>
      <c r="Z603" s="5"/>
    </row>
    <row r="604" spans="1:26" ht="14.25" customHeight="1">
      <c r="A604" s="5"/>
      <c r="B604" s="22"/>
      <c r="C604" s="22"/>
      <c r="D604" s="5"/>
      <c r="E604" s="5"/>
      <c r="F604" s="22"/>
      <c r="G604" s="5"/>
      <c r="H604" s="5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5"/>
      <c r="V604" s="5"/>
      <c r="W604" s="5"/>
      <c r="X604" s="5"/>
      <c r="Y604" s="5"/>
      <c r="Z604" s="5"/>
    </row>
    <row r="605" spans="1:26" ht="14.25" customHeight="1">
      <c r="A605" s="5"/>
      <c r="B605" s="22"/>
      <c r="C605" s="22"/>
      <c r="D605" s="5"/>
      <c r="E605" s="5"/>
      <c r="F605" s="22"/>
      <c r="G605" s="5"/>
      <c r="H605" s="5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5"/>
      <c r="V605" s="5"/>
      <c r="W605" s="5"/>
      <c r="X605" s="5"/>
      <c r="Y605" s="5"/>
      <c r="Z605" s="5"/>
    </row>
    <row r="606" spans="1:26" ht="14.25" customHeight="1">
      <c r="A606" s="5"/>
      <c r="B606" s="22"/>
      <c r="C606" s="22"/>
      <c r="D606" s="5"/>
      <c r="E606" s="5"/>
      <c r="F606" s="22"/>
      <c r="G606" s="5"/>
      <c r="H606" s="5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5"/>
      <c r="V606" s="5"/>
      <c r="W606" s="5"/>
      <c r="X606" s="5"/>
      <c r="Y606" s="5"/>
      <c r="Z606" s="5"/>
    </row>
    <row r="607" spans="1:26" ht="14.25" customHeight="1">
      <c r="A607" s="5"/>
      <c r="B607" s="22"/>
      <c r="C607" s="22"/>
      <c r="D607" s="5"/>
      <c r="E607" s="5"/>
      <c r="F607" s="22"/>
      <c r="G607" s="5"/>
      <c r="H607" s="5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5"/>
      <c r="V607" s="5"/>
      <c r="W607" s="5"/>
      <c r="X607" s="5"/>
      <c r="Y607" s="5"/>
      <c r="Z607" s="5"/>
    </row>
    <row r="608" spans="1:26" ht="14.25" customHeight="1">
      <c r="A608" s="5"/>
      <c r="B608" s="22"/>
      <c r="C608" s="22"/>
      <c r="D608" s="5"/>
      <c r="E608" s="5"/>
      <c r="F608" s="22"/>
      <c r="G608" s="5"/>
      <c r="H608" s="5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5"/>
      <c r="V608" s="5"/>
      <c r="W608" s="5"/>
      <c r="X608" s="5"/>
      <c r="Y608" s="5"/>
      <c r="Z608" s="5"/>
    </row>
    <row r="609" spans="1:26" ht="14.25" customHeight="1">
      <c r="A609" s="5"/>
      <c r="B609" s="22"/>
      <c r="C609" s="22"/>
      <c r="D609" s="5"/>
      <c r="E609" s="5"/>
      <c r="F609" s="22"/>
      <c r="G609" s="5"/>
      <c r="H609" s="5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5"/>
      <c r="V609" s="5"/>
      <c r="W609" s="5"/>
      <c r="X609" s="5"/>
      <c r="Y609" s="5"/>
      <c r="Z609" s="5"/>
    </row>
    <row r="610" spans="1:26" ht="14.25" customHeight="1">
      <c r="A610" s="5"/>
      <c r="B610" s="22"/>
      <c r="C610" s="22"/>
      <c r="D610" s="5"/>
      <c r="E610" s="5"/>
      <c r="F610" s="22"/>
      <c r="G610" s="5"/>
      <c r="H610" s="5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5"/>
      <c r="V610" s="5"/>
      <c r="W610" s="5"/>
      <c r="X610" s="5"/>
      <c r="Y610" s="5"/>
      <c r="Z610" s="5"/>
    </row>
    <row r="611" spans="1:26" ht="14.25" customHeight="1">
      <c r="A611" s="5"/>
      <c r="B611" s="22"/>
      <c r="C611" s="22"/>
      <c r="D611" s="5"/>
      <c r="E611" s="5"/>
      <c r="F611" s="22"/>
      <c r="G611" s="5"/>
      <c r="H611" s="5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5"/>
      <c r="V611" s="5"/>
      <c r="W611" s="5"/>
      <c r="X611" s="5"/>
      <c r="Y611" s="5"/>
      <c r="Z611" s="5"/>
    </row>
    <row r="612" spans="1:26" ht="14.25" customHeight="1">
      <c r="A612" s="5"/>
      <c r="B612" s="22"/>
      <c r="C612" s="22"/>
      <c r="D612" s="5"/>
      <c r="E612" s="5"/>
      <c r="F612" s="22"/>
      <c r="G612" s="5"/>
      <c r="H612" s="5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5"/>
      <c r="V612" s="5"/>
      <c r="W612" s="5"/>
      <c r="X612" s="5"/>
      <c r="Y612" s="5"/>
      <c r="Z612" s="5"/>
    </row>
    <row r="613" spans="1:26" ht="14.25" customHeight="1">
      <c r="A613" s="5"/>
      <c r="B613" s="22"/>
      <c r="C613" s="22"/>
      <c r="D613" s="5"/>
      <c r="E613" s="5"/>
      <c r="F613" s="22"/>
      <c r="G613" s="5"/>
      <c r="H613" s="5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5"/>
      <c r="V613" s="5"/>
      <c r="W613" s="5"/>
      <c r="X613" s="5"/>
      <c r="Y613" s="5"/>
      <c r="Z613" s="5"/>
    </row>
    <row r="614" spans="1:26" ht="14.25" customHeight="1">
      <c r="A614" s="5"/>
      <c r="B614" s="22"/>
      <c r="C614" s="22"/>
      <c r="D614" s="5"/>
      <c r="E614" s="5"/>
      <c r="F614" s="22"/>
      <c r="G614" s="5"/>
      <c r="H614" s="5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5"/>
      <c r="V614" s="5"/>
      <c r="W614" s="5"/>
      <c r="X614" s="5"/>
      <c r="Y614" s="5"/>
      <c r="Z614" s="5"/>
    </row>
    <row r="615" spans="1:26" ht="14.25" customHeight="1">
      <c r="A615" s="5"/>
      <c r="B615" s="22"/>
      <c r="C615" s="22"/>
      <c r="D615" s="5"/>
      <c r="E615" s="5"/>
      <c r="F615" s="22"/>
      <c r="G615" s="5"/>
      <c r="H615" s="5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5"/>
      <c r="V615" s="5"/>
      <c r="W615" s="5"/>
      <c r="X615" s="5"/>
      <c r="Y615" s="5"/>
      <c r="Z615" s="5"/>
    </row>
    <row r="616" spans="1:26" ht="14.25" customHeight="1">
      <c r="A616" s="5"/>
      <c r="B616" s="22"/>
      <c r="C616" s="22"/>
      <c r="D616" s="5"/>
      <c r="E616" s="5"/>
      <c r="F616" s="22"/>
      <c r="G616" s="5"/>
      <c r="H616" s="5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5"/>
      <c r="V616" s="5"/>
      <c r="W616" s="5"/>
      <c r="X616" s="5"/>
      <c r="Y616" s="5"/>
      <c r="Z616" s="5"/>
    </row>
    <row r="617" spans="1:26" ht="14.25" customHeight="1">
      <c r="A617" s="5"/>
      <c r="B617" s="22"/>
      <c r="C617" s="22"/>
      <c r="D617" s="5"/>
      <c r="E617" s="5"/>
      <c r="F617" s="22"/>
      <c r="G617" s="5"/>
      <c r="H617" s="5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5"/>
      <c r="V617" s="5"/>
      <c r="W617" s="5"/>
      <c r="X617" s="5"/>
      <c r="Y617" s="5"/>
      <c r="Z617" s="5"/>
    </row>
    <row r="618" spans="1:26" ht="14.25" customHeight="1">
      <c r="A618" s="5"/>
      <c r="B618" s="22"/>
      <c r="C618" s="22"/>
      <c r="D618" s="5"/>
      <c r="E618" s="5"/>
      <c r="F618" s="22"/>
      <c r="G618" s="5"/>
      <c r="H618" s="5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5"/>
      <c r="V618" s="5"/>
      <c r="W618" s="5"/>
      <c r="X618" s="5"/>
      <c r="Y618" s="5"/>
      <c r="Z618" s="5"/>
    </row>
    <row r="619" spans="1:26" ht="14.25" customHeight="1">
      <c r="A619" s="5"/>
      <c r="B619" s="22"/>
      <c r="C619" s="22"/>
      <c r="D619" s="5"/>
      <c r="E619" s="5"/>
      <c r="F619" s="22"/>
      <c r="G619" s="5"/>
      <c r="H619" s="5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5"/>
      <c r="V619" s="5"/>
      <c r="W619" s="5"/>
      <c r="X619" s="5"/>
      <c r="Y619" s="5"/>
      <c r="Z619" s="5"/>
    </row>
    <row r="620" spans="1:26" ht="14.25" customHeight="1">
      <c r="A620" s="5"/>
      <c r="B620" s="22"/>
      <c r="C620" s="22"/>
      <c r="D620" s="5"/>
      <c r="E620" s="5"/>
      <c r="F620" s="22"/>
      <c r="G620" s="5"/>
      <c r="H620" s="5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5"/>
      <c r="V620" s="5"/>
      <c r="W620" s="5"/>
      <c r="X620" s="5"/>
      <c r="Y620" s="5"/>
      <c r="Z620" s="5"/>
    </row>
    <row r="621" spans="1:26" ht="14.25" customHeight="1">
      <c r="A621" s="5"/>
      <c r="B621" s="22"/>
      <c r="C621" s="22"/>
      <c r="D621" s="5"/>
      <c r="E621" s="5"/>
      <c r="F621" s="22"/>
      <c r="G621" s="5"/>
      <c r="H621" s="5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5"/>
      <c r="V621" s="5"/>
      <c r="W621" s="5"/>
      <c r="X621" s="5"/>
      <c r="Y621" s="5"/>
      <c r="Z621" s="5"/>
    </row>
    <row r="622" spans="1:26" ht="14.25" customHeight="1">
      <c r="A622" s="5"/>
      <c r="B622" s="22"/>
      <c r="C622" s="22"/>
      <c r="D622" s="5"/>
      <c r="E622" s="5"/>
      <c r="F622" s="22"/>
      <c r="G622" s="5"/>
      <c r="H622" s="5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5"/>
      <c r="V622" s="5"/>
      <c r="W622" s="5"/>
      <c r="X622" s="5"/>
      <c r="Y622" s="5"/>
      <c r="Z622" s="5"/>
    </row>
    <row r="623" spans="1:26" ht="14.25" customHeight="1">
      <c r="A623" s="5"/>
      <c r="B623" s="22"/>
      <c r="C623" s="22"/>
      <c r="D623" s="5"/>
      <c r="E623" s="5"/>
      <c r="F623" s="22"/>
      <c r="G623" s="5"/>
      <c r="H623" s="5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5"/>
      <c r="V623" s="5"/>
      <c r="W623" s="5"/>
      <c r="X623" s="5"/>
      <c r="Y623" s="5"/>
      <c r="Z623" s="5"/>
    </row>
    <row r="624" spans="1:26" ht="14.25" customHeight="1">
      <c r="A624" s="5"/>
      <c r="B624" s="22"/>
      <c r="C624" s="22"/>
      <c r="D624" s="5"/>
      <c r="E624" s="5"/>
      <c r="F624" s="22"/>
      <c r="G624" s="5"/>
      <c r="H624" s="5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5"/>
      <c r="V624" s="5"/>
      <c r="W624" s="5"/>
      <c r="X624" s="5"/>
      <c r="Y624" s="5"/>
      <c r="Z624" s="5"/>
    </row>
    <row r="625" spans="1:26" ht="14.25" customHeight="1">
      <c r="A625" s="5"/>
      <c r="B625" s="22"/>
      <c r="C625" s="22"/>
      <c r="D625" s="5"/>
      <c r="E625" s="5"/>
      <c r="F625" s="22"/>
      <c r="G625" s="5"/>
      <c r="H625" s="5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5"/>
      <c r="V625" s="5"/>
      <c r="W625" s="5"/>
      <c r="X625" s="5"/>
      <c r="Y625" s="5"/>
      <c r="Z625" s="5"/>
    </row>
    <row r="626" spans="1:26" ht="14.25" customHeight="1">
      <c r="A626" s="5"/>
      <c r="B626" s="22"/>
      <c r="C626" s="22"/>
      <c r="D626" s="5"/>
      <c r="E626" s="5"/>
      <c r="F626" s="22"/>
      <c r="G626" s="5"/>
      <c r="H626" s="5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5"/>
      <c r="V626" s="5"/>
      <c r="W626" s="5"/>
      <c r="X626" s="5"/>
      <c r="Y626" s="5"/>
      <c r="Z626" s="5"/>
    </row>
    <row r="627" spans="1:26" ht="14.25" customHeight="1">
      <c r="A627" s="5"/>
      <c r="B627" s="22"/>
      <c r="C627" s="22"/>
      <c r="D627" s="5"/>
      <c r="E627" s="5"/>
      <c r="F627" s="22"/>
      <c r="G627" s="5"/>
      <c r="H627" s="5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5"/>
      <c r="V627" s="5"/>
      <c r="W627" s="5"/>
      <c r="X627" s="5"/>
      <c r="Y627" s="5"/>
      <c r="Z627" s="5"/>
    </row>
    <row r="628" spans="1:26" ht="14.25" customHeight="1">
      <c r="A628" s="5"/>
      <c r="B628" s="22"/>
      <c r="C628" s="22"/>
      <c r="D628" s="5"/>
      <c r="E628" s="5"/>
      <c r="F628" s="22"/>
      <c r="G628" s="5"/>
      <c r="H628" s="5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5"/>
      <c r="V628" s="5"/>
      <c r="W628" s="5"/>
      <c r="X628" s="5"/>
      <c r="Y628" s="5"/>
      <c r="Z628" s="5"/>
    </row>
    <row r="629" spans="1:26" ht="14.25" customHeight="1">
      <c r="A629" s="5"/>
      <c r="B629" s="22"/>
      <c r="C629" s="22"/>
      <c r="D629" s="5"/>
      <c r="E629" s="5"/>
      <c r="F629" s="22"/>
      <c r="G629" s="5"/>
      <c r="H629" s="5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5"/>
      <c r="V629" s="5"/>
      <c r="W629" s="5"/>
      <c r="X629" s="5"/>
      <c r="Y629" s="5"/>
      <c r="Z629" s="5"/>
    </row>
    <row r="630" spans="1:26" ht="14.25" customHeight="1">
      <c r="A630" s="5"/>
      <c r="B630" s="22"/>
      <c r="C630" s="22"/>
      <c r="D630" s="5"/>
      <c r="E630" s="5"/>
      <c r="F630" s="22"/>
      <c r="G630" s="5"/>
      <c r="H630" s="5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5"/>
      <c r="V630" s="5"/>
      <c r="W630" s="5"/>
      <c r="X630" s="5"/>
      <c r="Y630" s="5"/>
      <c r="Z630" s="5"/>
    </row>
    <row r="631" spans="1:26" ht="14.25" customHeight="1">
      <c r="A631" s="5"/>
      <c r="B631" s="22"/>
      <c r="C631" s="22"/>
      <c r="D631" s="5"/>
      <c r="E631" s="5"/>
      <c r="F631" s="22"/>
      <c r="G631" s="5"/>
      <c r="H631" s="5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5"/>
      <c r="V631" s="5"/>
      <c r="W631" s="5"/>
      <c r="X631" s="5"/>
      <c r="Y631" s="5"/>
      <c r="Z631" s="5"/>
    </row>
    <row r="632" spans="1:26" ht="14.25" customHeight="1">
      <c r="A632" s="5"/>
      <c r="B632" s="22"/>
      <c r="C632" s="22"/>
      <c r="D632" s="5"/>
      <c r="E632" s="5"/>
      <c r="F632" s="22"/>
      <c r="G632" s="5"/>
      <c r="H632" s="5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5"/>
      <c r="V632" s="5"/>
      <c r="W632" s="5"/>
      <c r="X632" s="5"/>
      <c r="Y632" s="5"/>
      <c r="Z632" s="5"/>
    </row>
    <row r="633" spans="1:26" ht="14.25" customHeight="1">
      <c r="A633" s="5"/>
      <c r="B633" s="22"/>
      <c r="C633" s="22"/>
      <c r="D633" s="5"/>
      <c r="E633" s="5"/>
      <c r="F633" s="22"/>
      <c r="G633" s="5"/>
      <c r="H633" s="5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5"/>
      <c r="V633" s="5"/>
      <c r="W633" s="5"/>
      <c r="X633" s="5"/>
      <c r="Y633" s="5"/>
      <c r="Z633" s="5"/>
    </row>
    <row r="634" spans="1:26" ht="14.25" customHeight="1">
      <c r="A634" s="5"/>
      <c r="B634" s="22"/>
      <c r="C634" s="22"/>
      <c r="D634" s="5"/>
      <c r="E634" s="5"/>
      <c r="F634" s="22"/>
      <c r="G634" s="5"/>
      <c r="H634" s="5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5"/>
      <c r="V634" s="5"/>
      <c r="W634" s="5"/>
      <c r="X634" s="5"/>
      <c r="Y634" s="5"/>
      <c r="Z634" s="5"/>
    </row>
    <row r="635" spans="1:26" ht="14.25" customHeight="1">
      <c r="A635" s="5"/>
      <c r="B635" s="22"/>
      <c r="C635" s="22"/>
      <c r="D635" s="5"/>
      <c r="E635" s="5"/>
      <c r="F635" s="22"/>
      <c r="G635" s="5"/>
      <c r="H635" s="5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5"/>
      <c r="V635" s="5"/>
      <c r="W635" s="5"/>
      <c r="X635" s="5"/>
      <c r="Y635" s="5"/>
      <c r="Z635" s="5"/>
    </row>
    <row r="636" spans="1:26" ht="14.25" customHeight="1">
      <c r="A636" s="5"/>
      <c r="B636" s="22"/>
      <c r="C636" s="22"/>
      <c r="D636" s="5"/>
      <c r="E636" s="5"/>
      <c r="F636" s="22"/>
      <c r="G636" s="5"/>
      <c r="H636" s="5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5"/>
      <c r="V636" s="5"/>
      <c r="W636" s="5"/>
      <c r="X636" s="5"/>
      <c r="Y636" s="5"/>
      <c r="Z636" s="5"/>
    </row>
    <row r="637" spans="1:26" ht="14.25" customHeight="1">
      <c r="A637" s="5"/>
      <c r="B637" s="22"/>
      <c r="C637" s="22"/>
      <c r="D637" s="5"/>
      <c r="E637" s="5"/>
      <c r="F637" s="22"/>
      <c r="G637" s="5"/>
      <c r="H637" s="5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5"/>
      <c r="V637" s="5"/>
      <c r="W637" s="5"/>
      <c r="X637" s="5"/>
      <c r="Y637" s="5"/>
      <c r="Z637" s="5"/>
    </row>
    <row r="638" spans="1:26" ht="14.25" customHeight="1">
      <c r="A638" s="5"/>
      <c r="B638" s="22"/>
      <c r="C638" s="22"/>
      <c r="D638" s="5"/>
      <c r="E638" s="5"/>
      <c r="F638" s="22"/>
      <c r="G638" s="5"/>
      <c r="H638" s="5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5"/>
      <c r="V638" s="5"/>
      <c r="W638" s="5"/>
      <c r="X638" s="5"/>
      <c r="Y638" s="5"/>
      <c r="Z638" s="5"/>
    </row>
    <row r="639" spans="1:26" ht="14.25" customHeight="1">
      <c r="A639" s="5"/>
      <c r="B639" s="22"/>
      <c r="C639" s="22"/>
      <c r="D639" s="5"/>
      <c r="E639" s="5"/>
      <c r="F639" s="22"/>
      <c r="G639" s="5"/>
      <c r="H639" s="5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5"/>
      <c r="V639" s="5"/>
      <c r="W639" s="5"/>
      <c r="X639" s="5"/>
      <c r="Y639" s="5"/>
      <c r="Z639" s="5"/>
    </row>
    <row r="640" spans="1:26" ht="14.25" customHeight="1">
      <c r="A640" s="5"/>
      <c r="B640" s="22"/>
      <c r="C640" s="22"/>
      <c r="D640" s="5"/>
      <c r="E640" s="5"/>
      <c r="F640" s="22"/>
      <c r="G640" s="5"/>
      <c r="H640" s="5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5"/>
      <c r="V640" s="5"/>
      <c r="W640" s="5"/>
      <c r="X640" s="5"/>
      <c r="Y640" s="5"/>
      <c r="Z640" s="5"/>
    </row>
    <row r="641" spans="1:26" ht="14.25" customHeight="1">
      <c r="A641" s="5"/>
      <c r="B641" s="22"/>
      <c r="C641" s="22"/>
      <c r="D641" s="5"/>
      <c r="E641" s="5"/>
      <c r="F641" s="22"/>
      <c r="G641" s="5"/>
      <c r="H641" s="5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5"/>
      <c r="V641" s="5"/>
      <c r="W641" s="5"/>
      <c r="X641" s="5"/>
      <c r="Y641" s="5"/>
      <c r="Z641" s="5"/>
    </row>
    <row r="642" spans="1:26" ht="14.25" customHeight="1">
      <c r="A642" s="5"/>
      <c r="B642" s="22"/>
      <c r="C642" s="22"/>
      <c r="D642" s="5"/>
      <c r="E642" s="5"/>
      <c r="F642" s="22"/>
      <c r="G642" s="5"/>
      <c r="H642" s="5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5"/>
      <c r="V642" s="5"/>
      <c r="W642" s="5"/>
      <c r="X642" s="5"/>
      <c r="Y642" s="5"/>
      <c r="Z642" s="5"/>
    </row>
    <row r="643" spans="1:26" ht="14.25" customHeight="1">
      <c r="A643" s="5"/>
      <c r="B643" s="22"/>
      <c r="C643" s="22"/>
      <c r="D643" s="5"/>
      <c r="E643" s="5"/>
      <c r="F643" s="22"/>
      <c r="G643" s="5"/>
      <c r="H643" s="5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5"/>
      <c r="V643" s="5"/>
      <c r="W643" s="5"/>
      <c r="X643" s="5"/>
      <c r="Y643" s="5"/>
      <c r="Z643" s="5"/>
    </row>
    <row r="644" spans="1:26" ht="14.25" customHeight="1">
      <c r="A644" s="5"/>
      <c r="B644" s="22"/>
      <c r="C644" s="22"/>
      <c r="D644" s="5"/>
      <c r="E644" s="5"/>
      <c r="F644" s="22"/>
      <c r="G644" s="5"/>
      <c r="H644" s="5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5"/>
      <c r="V644" s="5"/>
      <c r="W644" s="5"/>
      <c r="X644" s="5"/>
      <c r="Y644" s="5"/>
      <c r="Z644" s="5"/>
    </row>
    <row r="645" spans="1:26" ht="14.25" customHeight="1">
      <c r="A645" s="5"/>
      <c r="B645" s="22"/>
      <c r="C645" s="22"/>
      <c r="D645" s="5"/>
      <c r="E645" s="5"/>
      <c r="F645" s="22"/>
      <c r="G645" s="5"/>
      <c r="H645" s="5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5"/>
      <c r="V645" s="5"/>
      <c r="W645" s="5"/>
      <c r="X645" s="5"/>
      <c r="Y645" s="5"/>
      <c r="Z645" s="5"/>
    </row>
    <row r="646" spans="1:26" ht="14.25" customHeight="1">
      <c r="A646" s="5"/>
      <c r="B646" s="22"/>
      <c r="C646" s="22"/>
      <c r="D646" s="5"/>
      <c r="E646" s="5"/>
      <c r="F646" s="22"/>
      <c r="G646" s="5"/>
      <c r="H646" s="5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5"/>
      <c r="V646" s="5"/>
      <c r="W646" s="5"/>
      <c r="X646" s="5"/>
      <c r="Y646" s="5"/>
      <c r="Z646" s="5"/>
    </row>
    <row r="647" spans="1:26" ht="14.25" customHeight="1">
      <c r="A647" s="5"/>
      <c r="B647" s="22"/>
      <c r="C647" s="22"/>
      <c r="D647" s="5"/>
      <c r="E647" s="5"/>
      <c r="F647" s="22"/>
      <c r="G647" s="5"/>
      <c r="H647" s="5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5"/>
      <c r="V647" s="5"/>
      <c r="W647" s="5"/>
      <c r="X647" s="5"/>
      <c r="Y647" s="5"/>
      <c r="Z647" s="5"/>
    </row>
    <row r="648" spans="1:26" ht="14.25" customHeight="1">
      <c r="A648" s="5"/>
      <c r="B648" s="22"/>
      <c r="C648" s="22"/>
      <c r="D648" s="5"/>
      <c r="E648" s="5"/>
      <c r="F648" s="22"/>
      <c r="G648" s="5"/>
      <c r="H648" s="5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5"/>
      <c r="V648" s="5"/>
      <c r="W648" s="5"/>
      <c r="X648" s="5"/>
      <c r="Y648" s="5"/>
      <c r="Z648" s="5"/>
    </row>
    <row r="649" spans="1:26" ht="14.25" customHeight="1">
      <c r="A649" s="5"/>
      <c r="B649" s="22"/>
      <c r="C649" s="22"/>
      <c r="D649" s="5"/>
      <c r="E649" s="5"/>
      <c r="F649" s="22"/>
      <c r="G649" s="5"/>
      <c r="H649" s="5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5"/>
      <c r="V649" s="5"/>
      <c r="W649" s="5"/>
      <c r="X649" s="5"/>
      <c r="Y649" s="5"/>
      <c r="Z649" s="5"/>
    </row>
    <row r="650" spans="1:26" ht="14.25" customHeight="1">
      <c r="A650" s="5"/>
      <c r="B650" s="22"/>
      <c r="C650" s="22"/>
      <c r="D650" s="5"/>
      <c r="E650" s="5"/>
      <c r="F650" s="22"/>
      <c r="G650" s="5"/>
      <c r="H650" s="5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5"/>
      <c r="V650" s="5"/>
      <c r="W650" s="5"/>
      <c r="X650" s="5"/>
      <c r="Y650" s="5"/>
      <c r="Z650" s="5"/>
    </row>
    <row r="651" spans="1:26" ht="14.25" customHeight="1">
      <c r="A651" s="5"/>
      <c r="B651" s="22"/>
      <c r="C651" s="22"/>
      <c r="D651" s="5"/>
      <c r="E651" s="5"/>
      <c r="F651" s="22"/>
      <c r="G651" s="5"/>
      <c r="H651" s="5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5"/>
      <c r="V651" s="5"/>
      <c r="W651" s="5"/>
      <c r="X651" s="5"/>
      <c r="Y651" s="5"/>
      <c r="Z651" s="5"/>
    </row>
    <row r="652" spans="1:26" ht="14.25" customHeight="1">
      <c r="A652" s="5"/>
      <c r="B652" s="22"/>
      <c r="C652" s="22"/>
      <c r="D652" s="5"/>
      <c r="E652" s="5"/>
      <c r="F652" s="22"/>
      <c r="G652" s="5"/>
      <c r="H652" s="5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5"/>
      <c r="V652" s="5"/>
      <c r="W652" s="5"/>
      <c r="X652" s="5"/>
      <c r="Y652" s="5"/>
      <c r="Z652" s="5"/>
    </row>
    <row r="653" spans="1:26" ht="14.25" customHeight="1">
      <c r="A653" s="5"/>
      <c r="B653" s="22"/>
      <c r="C653" s="22"/>
      <c r="D653" s="5"/>
      <c r="E653" s="5"/>
      <c r="F653" s="22"/>
      <c r="G653" s="5"/>
      <c r="H653" s="5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5"/>
      <c r="V653" s="5"/>
      <c r="W653" s="5"/>
      <c r="X653" s="5"/>
      <c r="Y653" s="5"/>
      <c r="Z653" s="5"/>
    </row>
    <row r="654" spans="1:26" ht="14.25" customHeight="1">
      <c r="A654" s="5"/>
      <c r="B654" s="22"/>
      <c r="C654" s="22"/>
      <c r="D654" s="5"/>
      <c r="E654" s="5"/>
      <c r="F654" s="22"/>
      <c r="G654" s="5"/>
      <c r="H654" s="5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5"/>
      <c r="V654" s="5"/>
      <c r="W654" s="5"/>
      <c r="X654" s="5"/>
      <c r="Y654" s="5"/>
      <c r="Z654" s="5"/>
    </row>
    <row r="655" spans="1:26" ht="14.25" customHeight="1">
      <c r="A655" s="5"/>
      <c r="B655" s="22"/>
      <c r="C655" s="22"/>
      <c r="D655" s="5"/>
      <c r="E655" s="5"/>
      <c r="F655" s="22"/>
      <c r="G655" s="5"/>
      <c r="H655" s="5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5"/>
      <c r="V655" s="5"/>
      <c r="W655" s="5"/>
      <c r="X655" s="5"/>
      <c r="Y655" s="5"/>
      <c r="Z655" s="5"/>
    </row>
    <row r="656" spans="1:26" ht="14.25" customHeight="1">
      <c r="A656" s="5"/>
      <c r="B656" s="22"/>
      <c r="C656" s="22"/>
      <c r="D656" s="5"/>
      <c r="E656" s="5"/>
      <c r="F656" s="22"/>
      <c r="G656" s="5"/>
      <c r="H656" s="5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5"/>
      <c r="V656" s="5"/>
      <c r="W656" s="5"/>
      <c r="X656" s="5"/>
      <c r="Y656" s="5"/>
      <c r="Z656" s="5"/>
    </row>
    <row r="657" spans="1:26" ht="14.25" customHeight="1">
      <c r="A657" s="5"/>
      <c r="B657" s="22"/>
      <c r="C657" s="22"/>
      <c r="D657" s="5"/>
      <c r="E657" s="5"/>
      <c r="F657" s="22"/>
      <c r="G657" s="5"/>
      <c r="H657" s="5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5"/>
      <c r="V657" s="5"/>
      <c r="W657" s="5"/>
      <c r="X657" s="5"/>
      <c r="Y657" s="5"/>
      <c r="Z657" s="5"/>
    </row>
    <row r="658" spans="1:26" ht="14.25" customHeight="1">
      <c r="A658" s="5"/>
      <c r="B658" s="22"/>
      <c r="C658" s="22"/>
      <c r="D658" s="5"/>
      <c r="E658" s="5"/>
      <c r="F658" s="22"/>
      <c r="G658" s="5"/>
      <c r="H658" s="5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5"/>
      <c r="V658" s="5"/>
      <c r="W658" s="5"/>
      <c r="X658" s="5"/>
      <c r="Y658" s="5"/>
      <c r="Z658" s="5"/>
    </row>
    <row r="659" spans="1:26" ht="14.25" customHeight="1">
      <c r="A659" s="5"/>
      <c r="B659" s="22"/>
      <c r="C659" s="22"/>
      <c r="D659" s="5"/>
      <c r="E659" s="5"/>
      <c r="F659" s="22"/>
      <c r="G659" s="5"/>
      <c r="H659" s="5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5"/>
      <c r="V659" s="5"/>
      <c r="W659" s="5"/>
      <c r="X659" s="5"/>
      <c r="Y659" s="5"/>
      <c r="Z659" s="5"/>
    </row>
    <row r="660" spans="1:26" ht="14.25" customHeight="1">
      <c r="A660" s="5"/>
      <c r="B660" s="22"/>
      <c r="C660" s="22"/>
      <c r="D660" s="5"/>
      <c r="E660" s="5"/>
      <c r="F660" s="22"/>
      <c r="G660" s="5"/>
      <c r="H660" s="5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5"/>
      <c r="V660" s="5"/>
      <c r="W660" s="5"/>
      <c r="X660" s="5"/>
      <c r="Y660" s="5"/>
      <c r="Z660" s="5"/>
    </row>
    <row r="661" spans="1:26" ht="14.25" customHeight="1">
      <c r="A661" s="5"/>
      <c r="B661" s="22"/>
      <c r="C661" s="22"/>
      <c r="D661" s="5"/>
      <c r="E661" s="5"/>
      <c r="F661" s="22"/>
      <c r="G661" s="5"/>
      <c r="H661" s="5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5"/>
      <c r="V661" s="5"/>
      <c r="W661" s="5"/>
      <c r="X661" s="5"/>
      <c r="Y661" s="5"/>
      <c r="Z661" s="5"/>
    </row>
    <row r="662" spans="1:26" ht="14.25" customHeight="1">
      <c r="A662" s="5"/>
      <c r="B662" s="22"/>
      <c r="C662" s="22"/>
      <c r="D662" s="5"/>
      <c r="E662" s="5"/>
      <c r="F662" s="22"/>
      <c r="G662" s="5"/>
      <c r="H662" s="5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5"/>
      <c r="V662" s="5"/>
      <c r="W662" s="5"/>
      <c r="X662" s="5"/>
      <c r="Y662" s="5"/>
      <c r="Z662" s="5"/>
    </row>
    <row r="663" spans="1:26" ht="14.25" customHeight="1">
      <c r="A663" s="5"/>
      <c r="B663" s="22"/>
      <c r="C663" s="22"/>
      <c r="D663" s="5"/>
      <c r="E663" s="5"/>
      <c r="F663" s="22"/>
      <c r="G663" s="5"/>
      <c r="H663" s="5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5"/>
      <c r="V663" s="5"/>
      <c r="W663" s="5"/>
      <c r="X663" s="5"/>
      <c r="Y663" s="5"/>
      <c r="Z663" s="5"/>
    </row>
    <row r="664" spans="1:26" ht="14.25" customHeight="1">
      <c r="A664" s="5"/>
      <c r="B664" s="22"/>
      <c r="C664" s="22"/>
      <c r="D664" s="5"/>
      <c r="E664" s="5"/>
      <c r="F664" s="22"/>
      <c r="G664" s="5"/>
      <c r="H664" s="5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5"/>
      <c r="V664" s="5"/>
      <c r="W664" s="5"/>
      <c r="X664" s="5"/>
      <c r="Y664" s="5"/>
      <c r="Z664" s="5"/>
    </row>
    <row r="665" spans="1:26" ht="14.25" customHeight="1">
      <c r="A665" s="5"/>
      <c r="B665" s="22"/>
      <c r="C665" s="22"/>
      <c r="D665" s="5"/>
      <c r="E665" s="5"/>
      <c r="F665" s="22"/>
      <c r="G665" s="5"/>
      <c r="H665" s="5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5"/>
      <c r="V665" s="5"/>
      <c r="W665" s="5"/>
      <c r="X665" s="5"/>
      <c r="Y665" s="5"/>
      <c r="Z665" s="5"/>
    </row>
    <row r="666" spans="1:26" ht="14.25" customHeight="1">
      <c r="A666" s="5"/>
      <c r="B666" s="22"/>
      <c r="C666" s="22"/>
      <c r="D666" s="5"/>
      <c r="E666" s="5"/>
      <c r="F666" s="22"/>
      <c r="G666" s="5"/>
      <c r="H666" s="5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5"/>
      <c r="V666" s="5"/>
      <c r="W666" s="5"/>
      <c r="X666" s="5"/>
      <c r="Y666" s="5"/>
      <c r="Z666" s="5"/>
    </row>
    <row r="667" spans="1:26" ht="14.25" customHeight="1">
      <c r="A667" s="5"/>
      <c r="B667" s="22"/>
      <c r="C667" s="22"/>
      <c r="D667" s="5"/>
      <c r="E667" s="5"/>
      <c r="F667" s="22"/>
      <c r="G667" s="5"/>
      <c r="H667" s="5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5"/>
      <c r="V667" s="5"/>
      <c r="W667" s="5"/>
      <c r="X667" s="5"/>
      <c r="Y667" s="5"/>
      <c r="Z667" s="5"/>
    </row>
    <row r="668" spans="1:26" ht="14.25" customHeight="1">
      <c r="A668" s="5"/>
      <c r="B668" s="22"/>
      <c r="C668" s="22"/>
      <c r="D668" s="5"/>
      <c r="E668" s="5"/>
      <c r="F668" s="22"/>
      <c r="G668" s="5"/>
      <c r="H668" s="5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5"/>
      <c r="V668" s="5"/>
      <c r="W668" s="5"/>
      <c r="X668" s="5"/>
      <c r="Y668" s="5"/>
      <c r="Z668" s="5"/>
    </row>
    <row r="669" spans="1:26" ht="14.25" customHeight="1">
      <c r="A669" s="5"/>
      <c r="B669" s="22"/>
      <c r="C669" s="22"/>
      <c r="D669" s="5"/>
      <c r="E669" s="5"/>
      <c r="F669" s="22"/>
      <c r="G669" s="5"/>
      <c r="H669" s="5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5"/>
      <c r="V669" s="5"/>
      <c r="W669" s="5"/>
      <c r="X669" s="5"/>
      <c r="Y669" s="5"/>
      <c r="Z669" s="5"/>
    </row>
    <row r="670" spans="1:26" ht="14.25" customHeight="1">
      <c r="A670" s="5"/>
      <c r="B670" s="22"/>
      <c r="C670" s="22"/>
      <c r="D670" s="5"/>
      <c r="E670" s="5"/>
      <c r="F670" s="22"/>
      <c r="G670" s="5"/>
      <c r="H670" s="5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5"/>
      <c r="V670" s="5"/>
      <c r="W670" s="5"/>
      <c r="X670" s="5"/>
      <c r="Y670" s="5"/>
      <c r="Z670" s="5"/>
    </row>
    <row r="671" spans="1:26" ht="14.25" customHeight="1">
      <c r="A671" s="5"/>
      <c r="B671" s="22"/>
      <c r="C671" s="22"/>
      <c r="D671" s="5"/>
      <c r="E671" s="5"/>
      <c r="F671" s="22"/>
      <c r="G671" s="5"/>
      <c r="H671" s="5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5"/>
      <c r="V671" s="5"/>
      <c r="W671" s="5"/>
      <c r="X671" s="5"/>
      <c r="Y671" s="5"/>
      <c r="Z671" s="5"/>
    </row>
    <row r="672" spans="1:26" ht="14.25" customHeight="1">
      <c r="A672" s="5"/>
      <c r="B672" s="22"/>
      <c r="C672" s="22"/>
      <c r="D672" s="5"/>
      <c r="E672" s="5"/>
      <c r="F672" s="22"/>
      <c r="G672" s="5"/>
      <c r="H672" s="5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5"/>
      <c r="V672" s="5"/>
      <c r="W672" s="5"/>
      <c r="X672" s="5"/>
      <c r="Y672" s="5"/>
      <c r="Z672" s="5"/>
    </row>
    <row r="673" spans="1:26" ht="14.25" customHeight="1">
      <c r="A673" s="5"/>
      <c r="B673" s="22"/>
      <c r="C673" s="22"/>
      <c r="D673" s="5"/>
      <c r="E673" s="5"/>
      <c r="F673" s="22"/>
      <c r="G673" s="5"/>
      <c r="H673" s="5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5"/>
      <c r="V673" s="5"/>
      <c r="W673" s="5"/>
      <c r="X673" s="5"/>
      <c r="Y673" s="5"/>
      <c r="Z673" s="5"/>
    </row>
    <row r="674" spans="1:26" ht="14.25" customHeight="1">
      <c r="A674" s="5"/>
      <c r="B674" s="22"/>
      <c r="C674" s="22"/>
      <c r="D674" s="5"/>
      <c r="E674" s="5"/>
      <c r="F674" s="22"/>
      <c r="G674" s="5"/>
      <c r="H674" s="5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5"/>
      <c r="V674" s="5"/>
      <c r="W674" s="5"/>
      <c r="X674" s="5"/>
      <c r="Y674" s="5"/>
      <c r="Z674" s="5"/>
    </row>
    <row r="675" spans="1:26" ht="14.25" customHeight="1">
      <c r="A675" s="5"/>
      <c r="B675" s="22"/>
      <c r="C675" s="22"/>
      <c r="D675" s="5"/>
      <c r="E675" s="5"/>
      <c r="F675" s="22"/>
      <c r="G675" s="5"/>
      <c r="H675" s="5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5"/>
      <c r="V675" s="5"/>
      <c r="W675" s="5"/>
      <c r="X675" s="5"/>
      <c r="Y675" s="5"/>
      <c r="Z675" s="5"/>
    </row>
    <row r="676" spans="1:26" ht="14.25" customHeight="1">
      <c r="A676" s="5"/>
      <c r="B676" s="22"/>
      <c r="C676" s="22"/>
      <c r="D676" s="5"/>
      <c r="E676" s="5"/>
      <c r="F676" s="22"/>
      <c r="G676" s="5"/>
      <c r="H676" s="5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5"/>
      <c r="V676" s="5"/>
      <c r="W676" s="5"/>
      <c r="X676" s="5"/>
      <c r="Y676" s="5"/>
      <c r="Z676" s="5"/>
    </row>
    <row r="677" spans="1:26" ht="14.25" customHeight="1">
      <c r="A677" s="5"/>
      <c r="B677" s="22"/>
      <c r="C677" s="22"/>
      <c r="D677" s="5"/>
      <c r="E677" s="5"/>
      <c r="F677" s="22"/>
      <c r="G677" s="5"/>
      <c r="H677" s="5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5"/>
      <c r="V677" s="5"/>
      <c r="W677" s="5"/>
      <c r="X677" s="5"/>
      <c r="Y677" s="5"/>
      <c r="Z677" s="5"/>
    </row>
    <row r="678" spans="1:26" ht="14.25" customHeight="1">
      <c r="A678" s="5"/>
      <c r="B678" s="22"/>
      <c r="C678" s="22"/>
      <c r="D678" s="5"/>
      <c r="E678" s="5"/>
      <c r="F678" s="22"/>
      <c r="G678" s="5"/>
      <c r="H678" s="5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5"/>
      <c r="V678" s="5"/>
      <c r="W678" s="5"/>
      <c r="X678" s="5"/>
      <c r="Y678" s="5"/>
      <c r="Z678" s="5"/>
    </row>
    <row r="679" spans="1:26" ht="14.25" customHeight="1">
      <c r="A679" s="5"/>
      <c r="B679" s="22"/>
      <c r="C679" s="22"/>
      <c r="D679" s="5"/>
      <c r="E679" s="5"/>
      <c r="F679" s="22"/>
      <c r="G679" s="5"/>
      <c r="H679" s="5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5"/>
      <c r="V679" s="5"/>
      <c r="W679" s="5"/>
      <c r="X679" s="5"/>
      <c r="Y679" s="5"/>
      <c r="Z679" s="5"/>
    </row>
    <row r="680" spans="1:26" ht="14.25" customHeight="1">
      <c r="A680" s="5"/>
      <c r="B680" s="22"/>
      <c r="C680" s="22"/>
      <c r="D680" s="5"/>
      <c r="E680" s="5"/>
      <c r="F680" s="22"/>
      <c r="G680" s="5"/>
      <c r="H680" s="5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5"/>
      <c r="V680" s="5"/>
      <c r="W680" s="5"/>
      <c r="X680" s="5"/>
      <c r="Y680" s="5"/>
      <c r="Z680" s="5"/>
    </row>
    <row r="681" spans="1:26" ht="14.25" customHeight="1">
      <c r="A681" s="5"/>
      <c r="B681" s="22"/>
      <c r="C681" s="22"/>
      <c r="D681" s="5"/>
      <c r="E681" s="5"/>
      <c r="F681" s="22"/>
      <c r="G681" s="5"/>
      <c r="H681" s="5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5"/>
      <c r="V681" s="5"/>
      <c r="W681" s="5"/>
      <c r="X681" s="5"/>
      <c r="Y681" s="5"/>
      <c r="Z681" s="5"/>
    </row>
    <row r="682" spans="1:26" ht="14.25" customHeight="1">
      <c r="A682" s="5"/>
      <c r="B682" s="22"/>
      <c r="C682" s="22"/>
      <c r="D682" s="5"/>
      <c r="E682" s="5"/>
      <c r="F682" s="22"/>
      <c r="G682" s="5"/>
      <c r="H682" s="5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5"/>
      <c r="V682" s="5"/>
      <c r="W682" s="5"/>
      <c r="X682" s="5"/>
      <c r="Y682" s="5"/>
      <c r="Z682" s="5"/>
    </row>
    <row r="683" spans="1:26" ht="14.25" customHeight="1">
      <c r="A683" s="5"/>
      <c r="B683" s="22"/>
      <c r="C683" s="22"/>
      <c r="D683" s="5"/>
      <c r="E683" s="5"/>
      <c r="F683" s="22"/>
      <c r="G683" s="5"/>
      <c r="H683" s="5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5"/>
      <c r="V683" s="5"/>
      <c r="W683" s="5"/>
      <c r="X683" s="5"/>
      <c r="Y683" s="5"/>
      <c r="Z683" s="5"/>
    </row>
    <row r="684" spans="1:26" ht="14.25" customHeight="1">
      <c r="A684" s="5"/>
      <c r="B684" s="22"/>
      <c r="C684" s="22"/>
      <c r="D684" s="5"/>
      <c r="E684" s="5"/>
      <c r="F684" s="22"/>
      <c r="G684" s="5"/>
      <c r="H684" s="5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5"/>
      <c r="V684" s="5"/>
      <c r="W684" s="5"/>
      <c r="X684" s="5"/>
      <c r="Y684" s="5"/>
      <c r="Z684" s="5"/>
    </row>
    <row r="685" spans="1:26" ht="14.25" customHeight="1">
      <c r="A685" s="5"/>
      <c r="B685" s="22"/>
      <c r="C685" s="22"/>
      <c r="D685" s="5"/>
      <c r="E685" s="5"/>
      <c r="F685" s="22"/>
      <c r="G685" s="5"/>
      <c r="H685" s="5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5"/>
      <c r="V685" s="5"/>
      <c r="W685" s="5"/>
      <c r="X685" s="5"/>
      <c r="Y685" s="5"/>
      <c r="Z685" s="5"/>
    </row>
    <row r="686" spans="1:26" ht="14.25" customHeight="1">
      <c r="A686" s="5"/>
      <c r="B686" s="22"/>
      <c r="C686" s="22"/>
      <c r="D686" s="5"/>
      <c r="E686" s="5"/>
      <c r="F686" s="22"/>
      <c r="G686" s="5"/>
      <c r="H686" s="5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5"/>
      <c r="V686" s="5"/>
      <c r="W686" s="5"/>
      <c r="X686" s="5"/>
      <c r="Y686" s="5"/>
      <c r="Z686" s="5"/>
    </row>
    <row r="687" spans="1:26" ht="14.25" customHeight="1">
      <c r="A687" s="5"/>
      <c r="B687" s="22"/>
      <c r="C687" s="22"/>
      <c r="D687" s="5"/>
      <c r="E687" s="5"/>
      <c r="F687" s="22"/>
      <c r="G687" s="5"/>
      <c r="H687" s="5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5"/>
      <c r="V687" s="5"/>
      <c r="W687" s="5"/>
      <c r="X687" s="5"/>
      <c r="Y687" s="5"/>
      <c r="Z687" s="5"/>
    </row>
    <row r="688" spans="1:26" ht="14.25" customHeight="1">
      <c r="A688" s="5"/>
      <c r="B688" s="22"/>
      <c r="C688" s="22"/>
      <c r="D688" s="5"/>
      <c r="E688" s="5"/>
      <c r="F688" s="22"/>
      <c r="G688" s="5"/>
      <c r="H688" s="5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5"/>
      <c r="V688" s="5"/>
      <c r="W688" s="5"/>
      <c r="X688" s="5"/>
      <c r="Y688" s="5"/>
      <c r="Z688" s="5"/>
    </row>
    <row r="689" spans="1:26" ht="14.25" customHeight="1">
      <c r="A689" s="5"/>
      <c r="B689" s="22"/>
      <c r="C689" s="22"/>
      <c r="D689" s="5"/>
      <c r="E689" s="5"/>
      <c r="F689" s="22"/>
      <c r="G689" s="5"/>
      <c r="H689" s="5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5"/>
      <c r="V689" s="5"/>
      <c r="W689" s="5"/>
      <c r="X689" s="5"/>
      <c r="Y689" s="5"/>
      <c r="Z689" s="5"/>
    </row>
    <row r="690" spans="1:26" ht="14.25" customHeight="1">
      <c r="A690" s="5"/>
      <c r="B690" s="22"/>
      <c r="C690" s="22"/>
      <c r="D690" s="5"/>
      <c r="E690" s="5"/>
      <c r="F690" s="22"/>
      <c r="G690" s="5"/>
      <c r="H690" s="5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5"/>
      <c r="V690" s="5"/>
      <c r="W690" s="5"/>
      <c r="X690" s="5"/>
      <c r="Y690" s="5"/>
      <c r="Z690" s="5"/>
    </row>
    <row r="691" spans="1:26" ht="14.25" customHeight="1">
      <c r="A691" s="5"/>
      <c r="B691" s="22"/>
      <c r="C691" s="22"/>
      <c r="D691" s="5"/>
      <c r="E691" s="5"/>
      <c r="F691" s="22"/>
      <c r="G691" s="5"/>
      <c r="H691" s="5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5"/>
      <c r="V691" s="5"/>
      <c r="W691" s="5"/>
      <c r="X691" s="5"/>
      <c r="Y691" s="5"/>
      <c r="Z691" s="5"/>
    </row>
    <row r="692" spans="1:26" ht="14.25" customHeight="1">
      <c r="A692" s="5"/>
      <c r="B692" s="22"/>
      <c r="C692" s="22"/>
      <c r="D692" s="5"/>
      <c r="E692" s="5"/>
      <c r="F692" s="22"/>
      <c r="G692" s="5"/>
      <c r="H692" s="5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5"/>
      <c r="V692" s="5"/>
      <c r="W692" s="5"/>
      <c r="X692" s="5"/>
      <c r="Y692" s="5"/>
      <c r="Z692" s="5"/>
    </row>
    <row r="693" spans="1:26" ht="14.25" customHeight="1">
      <c r="A693" s="5"/>
      <c r="B693" s="22"/>
      <c r="C693" s="22"/>
      <c r="D693" s="5"/>
      <c r="E693" s="5"/>
      <c r="F693" s="22"/>
      <c r="G693" s="5"/>
      <c r="H693" s="5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5"/>
      <c r="V693" s="5"/>
      <c r="W693" s="5"/>
      <c r="X693" s="5"/>
      <c r="Y693" s="5"/>
      <c r="Z693" s="5"/>
    </row>
    <row r="694" spans="1:26" ht="14.25" customHeight="1">
      <c r="A694" s="5"/>
      <c r="B694" s="22"/>
      <c r="C694" s="22"/>
      <c r="D694" s="5"/>
      <c r="E694" s="5"/>
      <c r="F694" s="22"/>
      <c r="G694" s="5"/>
      <c r="H694" s="5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5"/>
      <c r="V694" s="5"/>
      <c r="W694" s="5"/>
      <c r="X694" s="5"/>
      <c r="Y694" s="5"/>
      <c r="Z694" s="5"/>
    </row>
    <row r="695" spans="1:26" ht="14.25" customHeight="1">
      <c r="A695" s="5"/>
      <c r="B695" s="22"/>
      <c r="C695" s="22"/>
      <c r="D695" s="5"/>
      <c r="E695" s="5"/>
      <c r="F695" s="22"/>
      <c r="G695" s="5"/>
      <c r="H695" s="5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5"/>
      <c r="V695" s="5"/>
      <c r="W695" s="5"/>
      <c r="X695" s="5"/>
      <c r="Y695" s="5"/>
      <c r="Z695" s="5"/>
    </row>
    <row r="696" spans="1:26" ht="14.25" customHeight="1">
      <c r="A696" s="5"/>
      <c r="B696" s="22"/>
      <c r="C696" s="22"/>
      <c r="D696" s="5"/>
      <c r="E696" s="5"/>
      <c r="F696" s="22"/>
      <c r="G696" s="5"/>
      <c r="H696" s="5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5"/>
      <c r="V696" s="5"/>
      <c r="W696" s="5"/>
      <c r="X696" s="5"/>
      <c r="Y696" s="5"/>
      <c r="Z696" s="5"/>
    </row>
    <row r="697" spans="1:26" ht="14.25" customHeight="1">
      <c r="A697" s="5"/>
      <c r="B697" s="22"/>
      <c r="C697" s="22"/>
      <c r="D697" s="5"/>
      <c r="E697" s="5"/>
      <c r="F697" s="22"/>
      <c r="G697" s="5"/>
      <c r="H697" s="5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5"/>
      <c r="V697" s="5"/>
      <c r="W697" s="5"/>
      <c r="X697" s="5"/>
      <c r="Y697" s="5"/>
      <c r="Z697" s="5"/>
    </row>
    <row r="698" spans="1:26" ht="14.25" customHeight="1">
      <c r="A698" s="5"/>
      <c r="B698" s="22"/>
      <c r="C698" s="22"/>
      <c r="D698" s="5"/>
      <c r="E698" s="5"/>
      <c r="F698" s="22"/>
      <c r="G698" s="5"/>
      <c r="H698" s="5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5"/>
      <c r="V698" s="5"/>
      <c r="W698" s="5"/>
      <c r="X698" s="5"/>
      <c r="Y698" s="5"/>
      <c r="Z698" s="5"/>
    </row>
    <row r="699" spans="1:26" ht="14.25" customHeight="1">
      <c r="A699" s="5"/>
      <c r="B699" s="22"/>
      <c r="C699" s="22"/>
      <c r="D699" s="5"/>
      <c r="E699" s="5"/>
      <c r="F699" s="22"/>
      <c r="G699" s="5"/>
      <c r="H699" s="5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5"/>
      <c r="V699" s="5"/>
      <c r="W699" s="5"/>
      <c r="X699" s="5"/>
      <c r="Y699" s="5"/>
      <c r="Z699" s="5"/>
    </row>
    <row r="700" spans="1:26" ht="14.25" customHeight="1">
      <c r="A700" s="5"/>
      <c r="B700" s="22"/>
      <c r="C700" s="22"/>
      <c r="D700" s="5"/>
      <c r="E700" s="5"/>
      <c r="F700" s="22"/>
      <c r="G700" s="5"/>
      <c r="H700" s="5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5"/>
      <c r="V700" s="5"/>
      <c r="W700" s="5"/>
      <c r="X700" s="5"/>
      <c r="Y700" s="5"/>
      <c r="Z700" s="5"/>
    </row>
    <row r="701" spans="1:26" ht="14.25" customHeight="1">
      <c r="A701" s="5"/>
      <c r="B701" s="22"/>
      <c r="C701" s="22"/>
      <c r="D701" s="5"/>
      <c r="E701" s="5"/>
      <c r="F701" s="22"/>
      <c r="G701" s="5"/>
      <c r="H701" s="5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5"/>
      <c r="V701" s="5"/>
      <c r="W701" s="5"/>
      <c r="X701" s="5"/>
      <c r="Y701" s="5"/>
      <c r="Z701" s="5"/>
    </row>
    <row r="702" spans="1:26" ht="14.25" customHeight="1">
      <c r="A702" s="5"/>
      <c r="B702" s="22"/>
      <c r="C702" s="22"/>
      <c r="D702" s="5"/>
      <c r="E702" s="5"/>
      <c r="F702" s="22"/>
      <c r="G702" s="5"/>
      <c r="H702" s="5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5"/>
      <c r="V702" s="5"/>
      <c r="W702" s="5"/>
      <c r="X702" s="5"/>
      <c r="Y702" s="5"/>
      <c r="Z702" s="5"/>
    </row>
    <row r="703" spans="1:26" ht="14.25" customHeight="1">
      <c r="A703" s="5"/>
      <c r="B703" s="22"/>
      <c r="C703" s="22"/>
      <c r="D703" s="5"/>
      <c r="E703" s="5"/>
      <c r="F703" s="22"/>
      <c r="G703" s="5"/>
      <c r="H703" s="5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5"/>
      <c r="V703" s="5"/>
      <c r="W703" s="5"/>
      <c r="X703" s="5"/>
      <c r="Y703" s="5"/>
      <c r="Z703" s="5"/>
    </row>
    <row r="704" spans="1:26" ht="14.25" customHeight="1">
      <c r="A704" s="5"/>
      <c r="B704" s="22"/>
      <c r="C704" s="22"/>
      <c r="D704" s="5"/>
      <c r="E704" s="5"/>
      <c r="F704" s="22"/>
      <c r="G704" s="5"/>
      <c r="H704" s="5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5"/>
      <c r="V704" s="5"/>
      <c r="W704" s="5"/>
      <c r="X704" s="5"/>
      <c r="Y704" s="5"/>
      <c r="Z704" s="5"/>
    </row>
    <row r="705" spans="1:26" ht="14.25" customHeight="1">
      <c r="A705" s="5"/>
      <c r="B705" s="22"/>
      <c r="C705" s="22"/>
      <c r="D705" s="5"/>
      <c r="E705" s="5"/>
      <c r="F705" s="22"/>
      <c r="G705" s="5"/>
      <c r="H705" s="5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5"/>
      <c r="V705" s="5"/>
      <c r="W705" s="5"/>
      <c r="X705" s="5"/>
      <c r="Y705" s="5"/>
      <c r="Z705" s="5"/>
    </row>
    <row r="706" spans="1:26" ht="14.25" customHeight="1">
      <c r="A706" s="5"/>
      <c r="B706" s="22"/>
      <c r="C706" s="22"/>
      <c r="D706" s="5"/>
      <c r="E706" s="5"/>
      <c r="F706" s="22"/>
      <c r="G706" s="5"/>
      <c r="H706" s="5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5"/>
      <c r="V706" s="5"/>
      <c r="W706" s="5"/>
      <c r="X706" s="5"/>
      <c r="Y706" s="5"/>
      <c r="Z706" s="5"/>
    </row>
    <row r="707" spans="1:26" ht="14.25" customHeight="1">
      <c r="A707" s="5"/>
      <c r="B707" s="22"/>
      <c r="C707" s="22"/>
      <c r="D707" s="5"/>
      <c r="E707" s="5"/>
      <c r="F707" s="22"/>
      <c r="G707" s="5"/>
      <c r="H707" s="5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5"/>
      <c r="V707" s="5"/>
      <c r="W707" s="5"/>
      <c r="X707" s="5"/>
      <c r="Y707" s="5"/>
      <c r="Z707" s="5"/>
    </row>
    <row r="708" spans="1:26" ht="14.25" customHeight="1">
      <c r="A708" s="5"/>
      <c r="B708" s="22"/>
      <c r="C708" s="22"/>
      <c r="D708" s="5"/>
      <c r="E708" s="5"/>
      <c r="F708" s="22"/>
      <c r="G708" s="5"/>
      <c r="H708" s="5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5"/>
      <c r="V708" s="5"/>
      <c r="W708" s="5"/>
      <c r="X708" s="5"/>
      <c r="Y708" s="5"/>
      <c r="Z708" s="5"/>
    </row>
    <row r="709" spans="1:26" ht="14.25" customHeight="1">
      <c r="A709" s="5"/>
      <c r="B709" s="22"/>
      <c r="C709" s="22"/>
      <c r="D709" s="5"/>
      <c r="E709" s="5"/>
      <c r="F709" s="22"/>
      <c r="G709" s="5"/>
      <c r="H709" s="5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5"/>
      <c r="V709" s="5"/>
      <c r="W709" s="5"/>
      <c r="X709" s="5"/>
      <c r="Y709" s="5"/>
      <c r="Z709" s="5"/>
    </row>
    <row r="710" spans="1:26" ht="14.25" customHeight="1">
      <c r="A710" s="5"/>
      <c r="B710" s="22"/>
      <c r="C710" s="22"/>
      <c r="D710" s="5"/>
      <c r="E710" s="5"/>
      <c r="F710" s="22"/>
      <c r="G710" s="5"/>
      <c r="H710" s="5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5"/>
      <c r="V710" s="5"/>
      <c r="W710" s="5"/>
      <c r="X710" s="5"/>
      <c r="Y710" s="5"/>
      <c r="Z710" s="5"/>
    </row>
    <row r="711" spans="1:26" ht="14.25" customHeight="1">
      <c r="A711" s="5"/>
      <c r="B711" s="22"/>
      <c r="C711" s="22"/>
      <c r="D711" s="5"/>
      <c r="E711" s="5"/>
      <c r="F711" s="22"/>
      <c r="G711" s="5"/>
      <c r="H711" s="5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5"/>
      <c r="V711" s="5"/>
      <c r="W711" s="5"/>
      <c r="X711" s="5"/>
      <c r="Y711" s="5"/>
      <c r="Z711" s="5"/>
    </row>
    <row r="712" spans="1:26" ht="14.25" customHeight="1">
      <c r="A712" s="5"/>
      <c r="B712" s="22"/>
      <c r="C712" s="22"/>
      <c r="D712" s="5"/>
      <c r="E712" s="5"/>
      <c r="F712" s="22"/>
      <c r="G712" s="5"/>
      <c r="H712" s="5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5"/>
      <c r="V712" s="5"/>
      <c r="W712" s="5"/>
      <c r="X712" s="5"/>
      <c r="Y712" s="5"/>
      <c r="Z712" s="5"/>
    </row>
    <row r="713" spans="1:26" ht="14.25" customHeight="1">
      <c r="A713" s="5"/>
      <c r="B713" s="22"/>
      <c r="C713" s="22"/>
      <c r="D713" s="5"/>
      <c r="E713" s="5"/>
      <c r="F713" s="22"/>
      <c r="G713" s="5"/>
      <c r="H713" s="5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5"/>
      <c r="V713" s="5"/>
      <c r="W713" s="5"/>
      <c r="X713" s="5"/>
      <c r="Y713" s="5"/>
      <c r="Z713" s="5"/>
    </row>
    <row r="714" spans="1:26" ht="14.25" customHeight="1">
      <c r="A714" s="5"/>
      <c r="B714" s="22"/>
      <c r="C714" s="22"/>
      <c r="D714" s="5"/>
      <c r="E714" s="5"/>
      <c r="F714" s="22"/>
      <c r="G714" s="5"/>
      <c r="H714" s="5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5"/>
      <c r="V714" s="5"/>
      <c r="W714" s="5"/>
      <c r="X714" s="5"/>
      <c r="Y714" s="5"/>
      <c r="Z714" s="5"/>
    </row>
    <row r="715" spans="1:26" ht="14.25" customHeight="1">
      <c r="A715" s="5"/>
      <c r="B715" s="22"/>
      <c r="C715" s="22"/>
      <c r="D715" s="5"/>
      <c r="E715" s="5"/>
      <c r="F715" s="22"/>
      <c r="G715" s="5"/>
      <c r="H715" s="5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5"/>
      <c r="V715" s="5"/>
      <c r="W715" s="5"/>
      <c r="X715" s="5"/>
      <c r="Y715" s="5"/>
      <c r="Z715" s="5"/>
    </row>
    <row r="716" spans="1:26" ht="14.25" customHeight="1">
      <c r="A716" s="5"/>
      <c r="B716" s="22"/>
      <c r="C716" s="22"/>
      <c r="D716" s="5"/>
      <c r="E716" s="5"/>
      <c r="F716" s="22"/>
      <c r="G716" s="5"/>
      <c r="H716" s="5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5"/>
      <c r="V716" s="5"/>
      <c r="W716" s="5"/>
      <c r="X716" s="5"/>
      <c r="Y716" s="5"/>
      <c r="Z716" s="5"/>
    </row>
    <row r="717" spans="1:26" ht="14.25" customHeight="1">
      <c r="A717" s="5"/>
      <c r="B717" s="22"/>
      <c r="C717" s="22"/>
      <c r="D717" s="5"/>
      <c r="E717" s="5"/>
      <c r="F717" s="22"/>
      <c r="G717" s="5"/>
      <c r="H717" s="5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5"/>
      <c r="V717" s="5"/>
      <c r="W717" s="5"/>
      <c r="X717" s="5"/>
      <c r="Y717" s="5"/>
      <c r="Z717" s="5"/>
    </row>
    <row r="718" spans="1:26" ht="14.25" customHeight="1">
      <c r="A718" s="5"/>
      <c r="B718" s="22"/>
      <c r="C718" s="22"/>
      <c r="D718" s="5"/>
      <c r="E718" s="5"/>
      <c r="F718" s="22"/>
      <c r="G718" s="5"/>
      <c r="H718" s="5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5"/>
      <c r="V718" s="5"/>
      <c r="W718" s="5"/>
      <c r="X718" s="5"/>
      <c r="Y718" s="5"/>
      <c r="Z718" s="5"/>
    </row>
    <row r="719" spans="1:26" ht="14.25" customHeight="1">
      <c r="A719" s="5"/>
      <c r="B719" s="22"/>
      <c r="C719" s="22"/>
      <c r="D719" s="5"/>
      <c r="E719" s="5"/>
      <c r="F719" s="22"/>
      <c r="G719" s="5"/>
      <c r="H719" s="5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5"/>
      <c r="V719" s="5"/>
      <c r="W719" s="5"/>
      <c r="X719" s="5"/>
      <c r="Y719" s="5"/>
      <c r="Z719" s="5"/>
    </row>
    <row r="720" spans="1:26" ht="14.25" customHeight="1">
      <c r="A720" s="5"/>
      <c r="B720" s="22"/>
      <c r="C720" s="22"/>
      <c r="D720" s="5"/>
      <c r="E720" s="5"/>
      <c r="F720" s="22"/>
      <c r="G720" s="5"/>
      <c r="H720" s="5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5"/>
      <c r="V720" s="5"/>
      <c r="W720" s="5"/>
      <c r="X720" s="5"/>
      <c r="Y720" s="5"/>
      <c r="Z720" s="5"/>
    </row>
    <row r="721" spans="1:26" ht="14.25" customHeight="1">
      <c r="A721" s="5"/>
      <c r="B721" s="22"/>
      <c r="C721" s="22"/>
      <c r="D721" s="5"/>
      <c r="E721" s="5"/>
      <c r="F721" s="22"/>
      <c r="G721" s="5"/>
      <c r="H721" s="5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5"/>
      <c r="V721" s="5"/>
      <c r="W721" s="5"/>
      <c r="X721" s="5"/>
      <c r="Y721" s="5"/>
      <c r="Z721" s="5"/>
    </row>
    <row r="722" spans="1:26" ht="14.25" customHeight="1">
      <c r="A722" s="5"/>
      <c r="B722" s="22"/>
      <c r="C722" s="22"/>
      <c r="D722" s="5"/>
      <c r="E722" s="5"/>
      <c r="F722" s="22"/>
      <c r="G722" s="5"/>
      <c r="H722" s="5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5"/>
      <c r="V722" s="5"/>
      <c r="W722" s="5"/>
      <c r="X722" s="5"/>
      <c r="Y722" s="5"/>
      <c r="Z722" s="5"/>
    </row>
    <row r="723" spans="1:26" ht="14.25" customHeight="1">
      <c r="A723" s="5"/>
      <c r="B723" s="22"/>
      <c r="C723" s="22"/>
      <c r="D723" s="5"/>
      <c r="E723" s="5"/>
      <c r="F723" s="22"/>
      <c r="G723" s="5"/>
      <c r="H723" s="5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5"/>
      <c r="V723" s="5"/>
      <c r="W723" s="5"/>
      <c r="X723" s="5"/>
      <c r="Y723" s="5"/>
      <c r="Z723" s="5"/>
    </row>
    <row r="724" spans="1:26" ht="14.25" customHeight="1">
      <c r="A724" s="5"/>
      <c r="B724" s="22"/>
      <c r="C724" s="22"/>
      <c r="D724" s="5"/>
      <c r="E724" s="5"/>
      <c r="F724" s="22"/>
      <c r="G724" s="5"/>
      <c r="H724" s="5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5"/>
      <c r="V724" s="5"/>
      <c r="W724" s="5"/>
      <c r="X724" s="5"/>
      <c r="Y724" s="5"/>
      <c r="Z724" s="5"/>
    </row>
    <row r="725" spans="1:26" ht="14.25" customHeight="1">
      <c r="A725" s="5"/>
      <c r="B725" s="22"/>
      <c r="C725" s="22"/>
      <c r="D725" s="5"/>
      <c r="E725" s="5"/>
      <c r="F725" s="22"/>
      <c r="G725" s="5"/>
      <c r="H725" s="5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5"/>
      <c r="V725" s="5"/>
      <c r="W725" s="5"/>
      <c r="X725" s="5"/>
      <c r="Y725" s="5"/>
      <c r="Z725" s="5"/>
    </row>
    <row r="726" spans="1:26" ht="14.25" customHeight="1">
      <c r="A726" s="5"/>
      <c r="B726" s="22"/>
      <c r="C726" s="22"/>
      <c r="D726" s="5"/>
      <c r="E726" s="5"/>
      <c r="F726" s="22"/>
      <c r="G726" s="5"/>
      <c r="H726" s="5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5"/>
      <c r="V726" s="5"/>
      <c r="W726" s="5"/>
      <c r="X726" s="5"/>
      <c r="Y726" s="5"/>
      <c r="Z726" s="5"/>
    </row>
    <row r="727" spans="1:26" ht="14.25" customHeight="1">
      <c r="A727" s="5"/>
      <c r="B727" s="22"/>
      <c r="C727" s="22"/>
      <c r="D727" s="5"/>
      <c r="E727" s="5"/>
      <c r="F727" s="22"/>
      <c r="G727" s="5"/>
      <c r="H727" s="5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5"/>
      <c r="V727" s="5"/>
      <c r="W727" s="5"/>
      <c r="X727" s="5"/>
      <c r="Y727" s="5"/>
      <c r="Z727" s="5"/>
    </row>
    <row r="728" spans="1:26" ht="14.25" customHeight="1">
      <c r="A728" s="5"/>
      <c r="B728" s="22"/>
      <c r="C728" s="22"/>
      <c r="D728" s="5"/>
      <c r="E728" s="5"/>
      <c r="F728" s="22"/>
      <c r="G728" s="5"/>
      <c r="H728" s="5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5"/>
      <c r="V728" s="5"/>
      <c r="W728" s="5"/>
      <c r="X728" s="5"/>
      <c r="Y728" s="5"/>
      <c r="Z728" s="5"/>
    </row>
    <row r="729" spans="1:26" ht="14.25" customHeight="1">
      <c r="A729" s="5"/>
      <c r="B729" s="22"/>
      <c r="C729" s="22"/>
      <c r="D729" s="5"/>
      <c r="E729" s="5"/>
      <c r="F729" s="22"/>
      <c r="G729" s="5"/>
      <c r="H729" s="5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5"/>
      <c r="V729" s="5"/>
      <c r="W729" s="5"/>
      <c r="X729" s="5"/>
      <c r="Y729" s="5"/>
      <c r="Z729" s="5"/>
    </row>
    <row r="730" spans="1:26" ht="14.25" customHeight="1">
      <c r="A730" s="5"/>
      <c r="B730" s="22"/>
      <c r="C730" s="22"/>
      <c r="D730" s="5"/>
      <c r="E730" s="5"/>
      <c r="F730" s="22"/>
      <c r="G730" s="5"/>
      <c r="H730" s="5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5"/>
      <c r="V730" s="5"/>
      <c r="W730" s="5"/>
      <c r="X730" s="5"/>
      <c r="Y730" s="5"/>
      <c r="Z730" s="5"/>
    </row>
    <row r="731" spans="1:26" ht="14.25" customHeight="1">
      <c r="A731" s="5"/>
      <c r="B731" s="22"/>
      <c r="C731" s="22"/>
      <c r="D731" s="5"/>
      <c r="E731" s="5"/>
      <c r="F731" s="22"/>
      <c r="G731" s="5"/>
      <c r="H731" s="5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5"/>
      <c r="V731" s="5"/>
      <c r="W731" s="5"/>
      <c r="X731" s="5"/>
      <c r="Y731" s="5"/>
      <c r="Z731" s="5"/>
    </row>
    <row r="732" spans="1:26" ht="14.25" customHeight="1">
      <c r="A732" s="5"/>
      <c r="B732" s="22"/>
      <c r="C732" s="22"/>
      <c r="D732" s="5"/>
      <c r="E732" s="5"/>
      <c r="F732" s="22"/>
      <c r="G732" s="5"/>
      <c r="H732" s="5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5"/>
      <c r="V732" s="5"/>
      <c r="W732" s="5"/>
      <c r="X732" s="5"/>
      <c r="Y732" s="5"/>
      <c r="Z732" s="5"/>
    </row>
    <row r="733" spans="1:26" ht="14.25" customHeight="1">
      <c r="A733" s="5"/>
      <c r="B733" s="22"/>
      <c r="C733" s="22"/>
      <c r="D733" s="5"/>
      <c r="E733" s="5"/>
      <c r="F733" s="22"/>
      <c r="G733" s="5"/>
      <c r="H733" s="5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5"/>
      <c r="V733" s="5"/>
      <c r="W733" s="5"/>
      <c r="X733" s="5"/>
      <c r="Y733" s="5"/>
      <c r="Z733" s="5"/>
    </row>
    <row r="734" spans="1:26" ht="14.25" customHeight="1">
      <c r="A734" s="5"/>
      <c r="B734" s="22"/>
      <c r="C734" s="22"/>
      <c r="D734" s="5"/>
      <c r="E734" s="5"/>
      <c r="F734" s="22"/>
      <c r="G734" s="5"/>
      <c r="H734" s="5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5"/>
      <c r="V734" s="5"/>
      <c r="W734" s="5"/>
      <c r="X734" s="5"/>
      <c r="Y734" s="5"/>
      <c r="Z734" s="5"/>
    </row>
    <row r="735" spans="1:26" ht="14.25" customHeight="1">
      <c r="A735" s="5"/>
      <c r="B735" s="22"/>
      <c r="C735" s="22"/>
      <c r="D735" s="5"/>
      <c r="E735" s="5"/>
      <c r="F735" s="22"/>
      <c r="G735" s="5"/>
      <c r="H735" s="5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5"/>
      <c r="V735" s="5"/>
      <c r="W735" s="5"/>
      <c r="X735" s="5"/>
      <c r="Y735" s="5"/>
      <c r="Z735" s="5"/>
    </row>
    <row r="736" spans="1:26" ht="14.25" customHeight="1">
      <c r="A736" s="5"/>
      <c r="B736" s="22"/>
      <c r="C736" s="22"/>
      <c r="D736" s="5"/>
      <c r="E736" s="5"/>
      <c r="F736" s="22"/>
      <c r="G736" s="5"/>
      <c r="H736" s="5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5"/>
      <c r="V736" s="5"/>
      <c r="W736" s="5"/>
      <c r="X736" s="5"/>
      <c r="Y736" s="5"/>
      <c r="Z736" s="5"/>
    </row>
    <row r="737" spans="1:26" ht="14.25" customHeight="1">
      <c r="A737" s="5"/>
      <c r="B737" s="22"/>
      <c r="C737" s="22"/>
      <c r="D737" s="5"/>
      <c r="E737" s="5"/>
      <c r="F737" s="22"/>
      <c r="G737" s="5"/>
      <c r="H737" s="5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5"/>
      <c r="V737" s="5"/>
      <c r="W737" s="5"/>
      <c r="X737" s="5"/>
      <c r="Y737" s="5"/>
      <c r="Z737" s="5"/>
    </row>
    <row r="738" spans="1:26" ht="14.25" customHeight="1">
      <c r="A738" s="5"/>
      <c r="B738" s="22"/>
      <c r="C738" s="22"/>
      <c r="D738" s="5"/>
      <c r="E738" s="5"/>
      <c r="F738" s="22"/>
      <c r="G738" s="5"/>
      <c r="H738" s="5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5"/>
      <c r="V738" s="5"/>
      <c r="W738" s="5"/>
      <c r="X738" s="5"/>
      <c r="Y738" s="5"/>
      <c r="Z738" s="5"/>
    </row>
    <row r="739" spans="1:26" ht="14.25" customHeight="1">
      <c r="A739" s="5"/>
      <c r="B739" s="22"/>
      <c r="C739" s="22"/>
      <c r="D739" s="5"/>
      <c r="E739" s="5"/>
      <c r="F739" s="22"/>
      <c r="G739" s="5"/>
      <c r="H739" s="5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5"/>
      <c r="V739" s="5"/>
      <c r="W739" s="5"/>
      <c r="X739" s="5"/>
      <c r="Y739" s="5"/>
      <c r="Z739" s="5"/>
    </row>
    <row r="740" spans="1:26" ht="14.25" customHeight="1">
      <c r="A740" s="5"/>
      <c r="B740" s="22"/>
      <c r="C740" s="22"/>
      <c r="D740" s="5"/>
      <c r="E740" s="5"/>
      <c r="F740" s="22"/>
      <c r="G740" s="5"/>
      <c r="H740" s="5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5"/>
      <c r="V740" s="5"/>
      <c r="W740" s="5"/>
      <c r="X740" s="5"/>
      <c r="Y740" s="5"/>
      <c r="Z740" s="5"/>
    </row>
    <row r="741" spans="1:26" ht="14.25" customHeight="1">
      <c r="A741" s="5"/>
      <c r="B741" s="22"/>
      <c r="C741" s="22"/>
      <c r="D741" s="5"/>
      <c r="E741" s="5"/>
      <c r="F741" s="22"/>
      <c r="G741" s="5"/>
      <c r="H741" s="5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5"/>
      <c r="V741" s="5"/>
      <c r="W741" s="5"/>
      <c r="X741" s="5"/>
      <c r="Y741" s="5"/>
      <c r="Z741" s="5"/>
    </row>
    <row r="742" spans="1:26" ht="14.25" customHeight="1">
      <c r="A742" s="5"/>
      <c r="B742" s="22"/>
      <c r="C742" s="22"/>
      <c r="D742" s="5"/>
      <c r="E742" s="5"/>
      <c r="F742" s="22"/>
      <c r="G742" s="5"/>
      <c r="H742" s="5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5"/>
      <c r="V742" s="5"/>
      <c r="W742" s="5"/>
      <c r="X742" s="5"/>
      <c r="Y742" s="5"/>
      <c r="Z742" s="5"/>
    </row>
    <row r="743" spans="1:26" ht="14.25" customHeight="1">
      <c r="A743" s="5"/>
      <c r="B743" s="22"/>
      <c r="C743" s="22"/>
      <c r="D743" s="5"/>
      <c r="E743" s="5"/>
      <c r="F743" s="22"/>
      <c r="G743" s="5"/>
      <c r="H743" s="5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5"/>
      <c r="V743" s="5"/>
      <c r="W743" s="5"/>
      <c r="X743" s="5"/>
      <c r="Y743" s="5"/>
      <c r="Z743" s="5"/>
    </row>
    <row r="744" spans="1:26" ht="14.25" customHeight="1">
      <c r="A744" s="5"/>
      <c r="B744" s="22"/>
      <c r="C744" s="22"/>
      <c r="D744" s="5"/>
      <c r="E744" s="5"/>
      <c r="F744" s="22"/>
      <c r="G744" s="5"/>
      <c r="H744" s="5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5"/>
      <c r="V744" s="5"/>
      <c r="W744" s="5"/>
      <c r="X744" s="5"/>
      <c r="Y744" s="5"/>
      <c r="Z744" s="5"/>
    </row>
    <row r="745" spans="1:26" ht="14.25" customHeight="1">
      <c r="A745" s="5"/>
      <c r="B745" s="22"/>
      <c r="C745" s="22"/>
      <c r="D745" s="5"/>
      <c r="E745" s="5"/>
      <c r="F745" s="22"/>
      <c r="G745" s="5"/>
      <c r="H745" s="5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5"/>
      <c r="V745" s="5"/>
      <c r="W745" s="5"/>
      <c r="X745" s="5"/>
      <c r="Y745" s="5"/>
      <c r="Z745" s="5"/>
    </row>
    <row r="746" spans="1:26" ht="14.25" customHeight="1">
      <c r="A746" s="5"/>
      <c r="B746" s="22"/>
      <c r="C746" s="22"/>
      <c r="D746" s="5"/>
      <c r="E746" s="5"/>
      <c r="F746" s="22"/>
      <c r="G746" s="5"/>
      <c r="H746" s="5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5"/>
      <c r="V746" s="5"/>
      <c r="W746" s="5"/>
      <c r="X746" s="5"/>
      <c r="Y746" s="5"/>
      <c r="Z746" s="5"/>
    </row>
    <row r="747" spans="1:26" ht="14.25" customHeight="1">
      <c r="A747" s="5"/>
      <c r="B747" s="22"/>
      <c r="C747" s="22"/>
      <c r="D747" s="5"/>
      <c r="E747" s="5"/>
      <c r="F747" s="22"/>
      <c r="G747" s="5"/>
      <c r="H747" s="5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5"/>
      <c r="V747" s="5"/>
      <c r="W747" s="5"/>
      <c r="X747" s="5"/>
      <c r="Y747" s="5"/>
      <c r="Z747" s="5"/>
    </row>
    <row r="748" spans="1:26" ht="14.25" customHeight="1">
      <c r="A748" s="5"/>
      <c r="B748" s="22"/>
      <c r="C748" s="22"/>
      <c r="D748" s="5"/>
      <c r="E748" s="5"/>
      <c r="F748" s="22"/>
      <c r="G748" s="5"/>
      <c r="H748" s="5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5"/>
      <c r="V748" s="5"/>
      <c r="W748" s="5"/>
      <c r="X748" s="5"/>
      <c r="Y748" s="5"/>
      <c r="Z748" s="5"/>
    </row>
    <row r="749" spans="1:26" ht="14.25" customHeight="1">
      <c r="A749" s="5"/>
      <c r="B749" s="22"/>
      <c r="C749" s="22"/>
      <c r="D749" s="5"/>
      <c r="E749" s="5"/>
      <c r="F749" s="22"/>
      <c r="G749" s="5"/>
      <c r="H749" s="5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5"/>
      <c r="V749" s="5"/>
      <c r="W749" s="5"/>
      <c r="X749" s="5"/>
      <c r="Y749" s="5"/>
      <c r="Z749" s="5"/>
    </row>
    <row r="750" spans="1:26" ht="14.25" customHeight="1">
      <c r="A750" s="5"/>
      <c r="B750" s="22"/>
      <c r="C750" s="22"/>
      <c r="D750" s="5"/>
      <c r="E750" s="5"/>
      <c r="F750" s="22"/>
      <c r="G750" s="5"/>
      <c r="H750" s="5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5"/>
      <c r="V750" s="5"/>
      <c r="W750" s="5"/>
      <c r="X750" s="5"/>
      <c r="Y750" s="5"/>
      <c r="Z750" s="5"/>
    </row>
    <row r="751" spans="1:26" ht="14.25" customHeight="1">
      <c r="A751" s="5"/>
      <c r="B751" s="22"/>
      <c r="C751" s="22"/>
      <c r="D751" s="5"/>
      <c r="E751" s="5"/>
      <c r="F751" s="22"/>
      <c r="G751" s="5"/>
      <c r="H751" s="5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5"/>
      <c r="V751" s="5"/>
      <c r="W751" s="5"/>
      <c r="X751" s="5"/>
      <c r="Y751" s="5"/>
      <c r="Z751" s="5"/>
    </row>
    <row r="752" spans="1:26" ht="14.25" customHeight="1">
      <c r="A752" s="5"/>
      <c r="B752" s="22"/>
      <c r="C752" s="22"/>
      <c r="D752" s="5"/>
      <c r="E752" s="5"/>
      <c r="F752" s="22"/>
      <c r="G752" s="5"/>
      <c r="H752" s="5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5"/>
      <c r="V752" s="5"/>
      <c r="W752" s="5"/>
      <c r="X752" s="5"/>
      <c r="Y752" s="5"/>
      <c r="Z752" s="5"/>
    </row>
    <row r="753" spans="1:26" ht="14.25" customHeight="1">
      <c r="A753" s="5"/>
      <c r="B753" s="22"/>
      <c r="C753" s="22"/>
      <c r="D753" s="5"/>
      <c r="E753" s="5"/>
      <c r="F753" s="22"/>
      <c r="G753" s="5"/>
      <c r="H753" s="5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5"/>
      <c r="V753" s="5"/>
      <c r="W753" s="5"/>
      <c r="X753" s="5"/>
      <c r="Y753" s="5"/>
      <c r="Z753" s="5"/>
    </row>
    <row r="754" spans="1:26" ht="14.25" customHeight="1">
      <c r="A754" s="5"/>
      <c r="B754" s="22"/>
      <c r="C754" s="22"/>
      <c r="D754" s="5"/>
      <c r="E754" s="5"/>
      <c r="F754" s="22"/>
      <c r="G754" s="5"/>
      <c r="H754" s="5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5"/>
      <c r="V754" s="5"/>
      <c r="W754" s="5"/>
      <c r="X754" s="5"/>
      <c r="Y754" s="5"/>
      <c r="Z754" s="5"/>
    </row>
    <row r="755" spans="1:26" ht="14.25" customHeight="1">
      <c r="A755" s="5"/>
      <c r="B755" s="22"/>
      <c r="C755" s="22"/>
      <c r="D755" s="5"/>
      <c r="E755" s="5"/>
      <c r="F755" s="22"/>
      <c r="G755" s="5"/>
      <c r="H755" s="5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5"/>
      <c r="V755" s="5"/>
      <c r="W755" s="5"/>
      <c r="X755" s="5"/>
      <c r="Y755" s="5"/>
      <c r="Z755" s="5"/>
    </row>
    <row r="756" spans="1:26" ht="14.25" customHeight="1">
      <c r="A756" s="5"/>
      <c r="B756" s="22"/>
      <c r="C756" s="22"/>
      <c r="D756" s="5"/>
      <c r="E756" s="5"/>
      <c r="F756" s="22"/>
      <c r="G756" s="5"/>
      <c r="H756" s="5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5"/>
      <c r="V756" s="5"/>
      <c r="W756" s="5"/>
      <c r="X756" s="5"/>
      <c r="Y756" s="5"/>
      <c r="Z756" s="5"/>
    </row>
    <row r="757" spans="1:26" ht="14.25" customHeight="1">
      <c r="A757" s="5"/>
      <c r="B757" s="22"/>
      <c r="C757" s="22"/>
      <c r="D757" s="5"/>
      <c r="E757" s="5"/>
      <c r="F757" s="22"/>
      <c r="G757" s="5"/>
      <c r="H757" s="5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5"/>
      <c r="V757" s="5"/>
      <c r="W757" s="5"/>
      <c r="X757" s="5"/>
      <c r="Y757" s="5"/>
      <c r="Z757" s="5"/>
    </row>
    <row r="758" spans="1:26" ht="14.25" customHeight="1">
      <c r="A758" s="5"/>
      <c r="B758" s="22"/>
      <c r="C758" s="22"/>
      <c r="D758" s="5"/>
      <c r="E758" s="5"/>
      <c r="F758" s="22"/>
      <c r="G758" s="5"/>
      <c r="H758" s="5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5"/>
      <c r="V758" s="5"/>
      <c r="W758" s="5"/>
      <c r="X758" s="5"/>
      <c r="Y758" s="5"/>
      <c r="Z758" s="5"/>
    </row>
    <row r="759" spans="1:26" ht="14.25" customHeight="1">
      <c r="A759" s="5"/>
      <c r="B759" s="22"/>
      <c r="C759" s="22"/>
      <c r="D759" s="5"/>
      <c r="E759" s="5"/>
      <c r="F759" s="22"/>
      <c r="G759" s="5"/>
      <c r="H759" s="5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5"/>
      <c r="V759" s="5"/>
      <c r="W759" s="5"/>
      <c r="X759" s="5"/>
      <c r="Y759" s="5"/>
      <c r="Z759" s="5"/>
    </row>
    <row r="760" spans="1:26" ht="14.25" customHeight="1">
      <c r="A760" s="5"/>
      <c r="B760" s="22"/>
      <c r="C760" s="22"/>
      <c r="D760" s="5"/>
      <c r="E760" s="5"/>
      <c r="F760" s="22"/>
      <c r="G760" s="5"/>
      <c r="H760" s="5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5"/>
      <c r="V760" s="5"/>
      <c r="W760" s="5"/>
      <c r="X760" s="5"/>
      <c r="Y760" s="5"/>
      <c r="Z760" s="5"/>
    </row>
    <row r="761" spans="1:26" ht="14.25" customHeight="1">
      <c r="A761" s="5"/>
      <c r="B761" s="22"/>
      <c r="C761" s="22"/>
      <c r="D761" s="5"/>
      <c r="E761" s="5"/>
      <c r="F761" s="22"/>
      <c r="G761" s="5"/>
      <c r="H761" s="5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5"/>
      <c r="V761" s="5"/>
      <c r="W761" s="5"/>
      <c r="X761" s="5"/>
      <c r="Y761" s="5"/>
      <c r="Z761" s="5"/>
    </row>
    <row r="762" spans="1:26" ht="14.25" customHeight="1">
      <c r="A762" s="5"/>
      <c r="B762" s="22"/>
      <c r="C762" s="22"/>
      <c r="D762" s="5"/>
      <c r="E762" s="5"/>
      <c r="F762" s="22"/>
      <c r="G762" s="5"/>
      <c r="H762" s="5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5"/>
      <c r="V762" s="5"/>
      <c r="W762" s="5"/>
      <c r="X762" s="5"/>
      <c r="Y762" s="5"/>
      <c r="Z762" s="5"/>
    </row>
    <row r="763" spans="1:26" ht="14.25" customHeight="1">
      <c r="A763" s="5"/>
      <c r="B763" s="22"/>
      <c r="C763" s="22"/>
      <c r="D763" s="5"/>
      <c r="E763" s="5"/>
      <c r="F763" s="22"/>
      <c r="G763" s="5"/>
      <c r="H763" s="5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5"/>
      <c r="V763" s="5"/>
      <c r="W763" s="5"/>
      <c r="X763" s="5"/>
      <c r="Y763" s="5"/>
      <c r="Z763" s="5"/>
    </row>
    <row r="764" spans="1:26" ht="14.25" customHeight="1">
      <c r="A764" s="5"/>
      <c r="B764" s="22"/>
      <c r="C764" s="22"/>
      <c r="D764" s="5"/>
      <c r="E764" s="5"/>
      <c r="F764" s="22"/>
      <c r="G764" s="5"/>
      <c r="H764" s="5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5"/>
      <c r="V764" s="5"/>
      <c r="W764" s="5"/>
      <c r="X764" s="5"/>
      <c r="Y764" s="5"/>
      <c r="Z764" s="5"/>
    </row>
    <row r="765" spans="1:26" ht="14.25" customHeight="1">
      <c r="A765" s="5"/>
      <c r="B765" s="22"/>
      <c r="C765" s="22"/>
      <c r="D765" s="5"/>
      <c r="E765" s="5"/>
      <c r="F765" s="22"/>
      <c r="G765" s="5"/>
      <c r="H765" s="5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5"/>
      <c r="V765" s="5"/>
      <c r="W765" s="5"/>
      <c r="X765" s="5"/>
      <c r="Y765" s="5"/>
      <c r="Z765" s="5"/>
    </row>
    <row r="766" spans="1:26" ht="14.25" customHeight="1">
      <c r="A766" s="5"/>
      <c r="B766" s="22"/>
      <c r="C766" s="22"/>
      <c r="D766" s="5"/>
      <c r="E766" s="5"/>
      <c r="F766" s="22"/>
      <c r="G766" s="5"/>
      <c r="H766" s="5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5"/>
      <c r="V766" s="5"/>
      <c r="W766" s="5"/>
      <c r="X766" s="5"/>
      <c r="Y766" s="5"/>
      <c r="Z766" s="5"/>
    </row>
    <row r="767" spans="1:26" ht="14.25" customHeight="1">
      <c r="A767" s="5"/>
      <c r="B767" s="22"/>
      <c r="C767" s="22"/>
      <c r="D767" s="5"/>
      <c r="E767" s="5"/>
      <c r="F767" s="22"/>
      <c r="G767" s="5"/>
      <c r="H767" s="5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5"/>
      <c r="V767" s="5"/>
      <c r="W767" s="5"/>
      <c r="X767" s="5"/>
      <c r="Y767" s="5"/>
      <c r="Z767" s="5"/>
    </row>
    <row r="768" spans="1:26" ht="14.25" customHeight="1">
      <c r="A768" s="5"/>
      <c r="B768" s="22"/>
      <c r="C768" s="22"/>
      <c r="D768" s="5"/>
      <c r="E768" s="5"/>
      <c r="F768" s="22"/>
      <c r="G768" s="5"/>
      <c r="H768" s="5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5"/>
      <c r="V768" s="5"/>
      <c r="W768" s="5"/>
      <c r="X768" s="5"/>
      <c r="Y768" s="5"/>
      <c r="Z768" s="5"/>
    </row>
    <row r="769" spans="1:26" ht="14.25" customHeight="1">
      <c r="A769" s="5"/>
      <c r="B769" s="22"/>
      <c r="C769" s="22"/>
      <c r="D769" s="5"/>
      <c r="E769" s="5"/>
      <c r="F769" s="22"/>
      <c r="G769" s="5"/>
      <c r="H769" s="5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5"/>
      <c r="V769" s="5"/>
      <c r="W769" s="5"/>
      <c r="X769" s="5"/>
      <c r="Y769" s="5"/>
      <c r="Z769" s="5"/>
    </row>
    <row r="770" spans="1:26" ht="14.25" customHeight="1">
      <c r="A770" s="5"/>
      <c r="B770" s="22"/>
      <c r="C770" s="22"/>
      <c r="D770" s="5"/>
      <c r="E770" s="5"/>
      <c r="F770" s="22"/>
      <c r="G770" s="5"/>
      <c r="H770" s="5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5"/>
      <c r="V770" s="5"/>
      <c r="W770" s="5"/>
      <c r="X770" s="5"/>
      <c r="Y770" s="5"/>
      <c r="Z770" s="5"/>
    </row>
    <row r="771" spans="1:26" ht="14.25" customHeight="1">
      <c r="A771" s="5"/>
      <c r="B771" s="22"/>
      <c r="C771" s="22"/>
      <c r="D771" s="5"/>
      <c r="E771" s="5"/>
      <c r="F771" s="22"/>
      <c r="G771" s="5"/>
      <c r="H771" s="5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5"/>
      <c r="V771" s="5"/>
      <c r="W771" s="5"/>
      <c r="X771" s="5"/>
      <c r="Y771" s="5"/>
      <c r="Z771" s="5"/>
    </row>
    <row r="772" spans="1:26" ht="14.25" customHeight="1">
      <c r="A772" s="5"/>
      <c r="B772" s="22"/>
      <c r="C772" s="22"/>
      <c r="D772" s="5"/>
      <c r="E772" s="5"/>
      <c r="F772" s="22"/>
      <c r="G772" s="5"/>
      <c r="H772" s="5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5"/>
      <c r="V772" s="5"/>
      <c r="W772" s="5"/>
      <c r="X772" s="5"/>
      <c r="Y772" s="5"/>
      <c r="Z772" s="5"/>
    </row>
    <row r="773" spans="1:26" ht="14.25" customHeight="1">
      <c r="A773" s="5"/>
      <c r="B773" s="22"/>
      <c r="C773" s="22"/>
      <c r="D773" s="5"/>
      <c r="E773" s="5"/>
      <c r="F773" s="22"/>
      <c r="G773" s="5"/>
      <c r="H773" s="5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5"/>
      <c r="V773" s="5"/>
      <c r="W773" s="5"/>
      <c r="X773" s="5"/>
      <c r="Y773" s="5"/>
      <c r="Z773" s="5"/>
    </row>
    <row r="774" spans="1:26" ht="14.25" customHeight="1">
      <c r="A774" s="5"/>
      <c r="B774" s="22"/>
      <c r="C774" s="22"/>
      <c r="D774" s="5"/>
      <c r="E774" s="5"/>
      <c r="F774" s="22"/>
      <c r="G774" s="5"/>
      <c r="H774" s="5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5"/>
      <c r="V774" s="5"/>
      <c r="W774" s="5"/>
      <c r="X774" s="5"/>
      <c r="Y774" s="5"/>
      <c r="Z774" s="5"/>
    </row>
    <row r="775" spans="1:26" ht="14.25" customHeight="1">
      <c r="A775" s="5"/>
      <c r="B775" s="22"/>
      <c r="C775" s="22"/>
      <c r="D775" s="5"/>
      <c r="E775" s="5"/>
      <c r="F775" s="22"/>
      <c r="G775" s="5"/>
      <c r="H775" s="5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5"/>
      <c r="V775" s="5"/>
      <c r="W775" s="5"/>
      <c r="X775" s="5"/>
      <c r="Y775" s="5"/>
      <c r="Z775" s="5"/>
    </row>
    <row r="776" spans="1:26" ht="14.25" customHeight="1">
      <c r="A776" s="5"/>
      <c r="B776" s="22"/>
      <c r="C776" s="22"/>
      <c r="D776" s="5"/>
      <c r="E776" s="5"/>
      <c r="F776" s="22"/>
      <c r="G776" s="5"/>
      <c r="H776" s="5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5"/>
      <c r="V776" s="5"/>
      <c r="W776" s="5"/>
      <c r="X776" s="5"/>
      <c r="Y776" s="5"/>
      <c r="Z776" s="5"/>
    </row>
    <row r="777" spans="1:26" ht="14.25" customHeight="1">
      <c r="A777" s="5"/>
      <c r="B777" s="22"/>
      <c r="C777" s="22"/>
      <c r="D777" s="5"/>
      <c r="E777" s="5"/>
      <c r="F777" s="22"/>
      <c r="G777" s="5"/>
      <c r="H777" s="5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5"/>
      <c r="V777" s="5"/>
      <c r="W777" s="5"/>
      <c r="X777" s="5"/>
      <c r="Y777" s="5"/>
      <c r="Z777" s="5"/>
    </row>
    <row r="778" spans="1:26" ht="14.25" customHeight="1">
      <c r="A778" s="5"/>
      <c r="B778" s="22"/>
      <c r="C778" s="22"/>
      <c r="D778" s="5"/>
      <c r="E778" s="5"/>
      <c r="F778" s="22"/>
      <c r="G778" s="5"/>
      <c r="H778" s="5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5"/>
      <c r="V778" s="5"/>
      <c r="W778" s="5"/>
      <c r="X778" s="5"/>
      <c r="Y778" s="5"/>
      <c r="Z778" s="5"/>
    </row>
    <row r="779" spans="1:26" ht="14.25" customHeight="1">
      <c r="A779" s="5"/>
      <c r="B779" s="22"/>
      <c r="C779" s="22"/>
      <c r="D779" s="5"/>
      <c r="E779" s="5"/>
      <c r="F779" s="22"/>
      <c r="G779" s="5"/>
      <c r="H779" s="5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5"/>
      <c r="V779" s="5"/>
      <c r="W779" s="5"/>
      <c r="X779" s="5"/>
      <c r="Y779" s="5"/>
      <c r="Z779" s="5"/>
    </row>
    <row r="780" spans="1:26" ht="14.25" customHeight="1">
      <c r="A780" s="5"/>
      <c r="B780" s="22"/>
      <c r="C780" s="22"/>
      <c r="D780" s="5"/>
      <c r="E780" s="5"/>
      <c r="F780" s="22"/>
      <c r="G780" s="5"/>
      <c r="H780" s="5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5"/>
      <c r="V780" s="5"/>
      <c r="W780" s="5"/>
      <c r="X780" s="5"/>
      <c r="Y780" s="5"/>
      <c r="Z780" s="5"/>
    </row>
    <row r="781" spans="1:26" ht="14.25" customHeight="1">
      <c r="A781" s="5"/>
      <c r="B781" s="22"/>
      <c r="C781" s="22"/>
      <c r="D781" s="5"/>
      <c r="E781" s="5"/>
      <c r="F781" s="22"/>
      <c r="G781" s="5"/>
      <c r="H781" s="5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5"/>
      <c r="V781" s="5"/>
      <c r="W781" s="5"/>
      <c r="X781" s="5"/>
      <c r="Y781" s="5"/>
      <c r="Z781" s="5"/>
    </row>
    <row r="782" spans="1:26" ht="14.25" customHeight="1">
      <c r="A782" s="5"/>
      <c r="B782" s="22"/>
      <c r="C782" s="22"/>
      <c r="D782" s="5"/>
      <c r="E782" s="5"/>
      <c r="F782" s="22"/>
      <c r="G782" s="5"/>
      <c r="H782" s="5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5"/>
      <c r="V782" s="5"/>
      <c r="W782" s="5"/>
      <c r="X782" s="5"/>
      <c r="Y782" s="5"/>
      <c r="Z782" s="5"/>
    </row>
    <row r="783" spans="1:26" ht="14.25" customHeight="1">
      <c r="A783" s="5"/>
      <c r="B783" s="22"/>
      <c r="C783" s="22"/>
      <c r="D783" s="5"/>
      <c r="E783" s="5"/>
      <c r="F783" s="22"/>
      <c r="G783" s="5"/>
      <c r="H783" s="5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5"/>
      <c r="V783" s="5"/>
      <c r="W783" s="5"/>
      <c r="X783" s="5"/>
      <c r="Y783" s="5"/>
      <c r="Z783" s="5"/>
    </row>
    <row r="784" spans="1:26" ht="14.25" customHeight="1">
      <c r="A784" s="5"/>
      <c r="B784" s="22"/>
      <c r="C784" s="22"/>
      <c r="D784" s="5"/>
      <c r="E784" s="5"/>
      <c r="F784" s="22"/>
      <c r="G784" s="5"/>
      <c r="H784" s="5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5"/>
      <c r="V784" s="5"/>
      <c r="W784" s="5"/>
      <c r="X784" s="5"/>
      <c r="Y784" s="5"/>
      <c r="Z784" s="5"/>
    </row>
    <row r="785" spans="1:26" ht="14.25" customHeight="1">
      <c r="A785" s="5"/>
      <c r="B785" s="22"/>
      <c r="C785" s="22"/>
      <c r="D785" s="5"/>
      <c r="E785" s="5"/>
      <c r="F785" s="22"/>
      <c r="G785" s="5"/>
      <c r="H785" s="5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5"/>
      <c r="V785" s="5"/>
      <c r="W785" s="5"/>
      <c r="X785" s="5"/>
      <c r="Y785" s="5"/>
      <c r="Z785" s="5"/>
    </row>
    <row r="786" spans="1:26" ht="14.25" customHeight="1">
      <c r="A786" s="5"/>
      <c r="B786" s="22"/>
      <c r="C786" s="22"/>
      <c r="D786" s="5"/>
      <c r="E786" s="5"/>
      <c r="F786" s="22"/>
      <c r="G786" s="5"/>
      <c r="H786" s="5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5"/>
      <c r="V786" s="5"/>
      <c r="W786" s="5"/>
      <c r="X786" s="5"/>
      <c r="Y786" s="5"/>
      <c r="Z786" s="5"/>
    </row>
    <row r="787" spans="1:26" ht="14.25" customHeight="1">
      <c r="A787" s="5"/>
      <c r="B787" s="22"/>
      <c r="C787" s="22"/>
      <c r="D787" s="5"/>
      <c r="E787" s="5"/>
      <c r="F787" s="22"/>
      <c r="G787" s="5"/>
      <c r="H787" s="5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5"/>
      <c r="V787" s="5"/>
      <c r="W787" s="5"/>
      <c r="X787" s="5"/>
      <c r="Y787" s="5"/>
      <c r="Z787" s="5"/>
    </row>
    <row r="788" spans="1:26" ht="14.25" customHeight="1">
      <c r="A788" s="5"/>
      <c r="B788" s="22"/>
      <c r="C788" s="22"/>
      <c r="D788" s="5"/>
      <c r="E788" s="5"/>
      <c r="F788" s="22"/>
      <c r="G788" s="5"/>
      <c r="H788" s="5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5"/>
      <c r="V788" s="5"/>
      <c r="W788" s="5"/>
      <c r="X788" s="5"/>
      <c r="Y788" s="5"/>
      <c r="Z788" s="5"/>
    </row>
    <row r="789" spans="1:26" ht="14.25" customHeight="1">
      <c r="A789" s="5"/>
      <c r="B789" s="22"/>
      <c r="C789" s="22"/>
      <c r="D789" s="5"/>
      <c r="E789" s="5"/>
      <c r="F789" s="22"/>
      <c r="G789" s="5"/>
      <c r="H789" s="5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5"/>
      <c r="V789" s="5"/>
      <c r="W789" s="5"/>
      <c r="X789" s="5"/>
      <c r="Y789" s="5"/>
      <c r="Z789" s="5"/>
    </row>
    <row r="790" spans="1:26" ht="14.25" customHeight="1">
      <c r="A790" s="5"/>
      <c r="B790" s="22"/>
      <c r="C790" s="22"/>
      <c r="D790" s="5"/>
      <c r="E790" s="5"/>
      <c r="F790" s="22"/>
      <c r="G790" s="5"/>
      <c r="H790" s="5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5"/>
      <c r="V790" s="5"/>
      <c r="W790" s="5"/>
      <c r="X790" s="5"/>
      <c r="Y790" s="5"/>
      <c r="Z790" s="5"/>
    </row>
    <row r="791" spans="1:26" ht="14.25" customHeight="1">
      <c r="A791" s="5"/>
      <c r="B791" s="22"/>
      <c r="C791" s="22"/>
      <c r="D791" s="5"/>
      <c r="E791" s="5"/>
      <c r="F791" s="22"/>
      <c r="G791" s="5"/>
      <c r="H791" s="5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5"/>
      <c r="V791" s="5"/>
      <c r="W791" s="5"/>
      <c r="X791" s="5"/>
      <c r="Y791" s="5"/>
      <c r="Z791" s="5"/>
    </row>
    <row r="792" spans="1:26" ht="14.25" customHeight="1">
      <c r="A792" s="5"/>
      <c r="B792" s="22"/>
      <c r="C792" s="22"/>
      <c r="D792" s="5"/>
      <c r="E792" s="5"/>
      <c r="F792" s="22"/>
      <c r="G792" s="5"/>
      <c r="H792" s="5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5"/>
      <c r="V792" s="5"/>
      <c r="W792" s="5"/>
      <c r="X792" s="5"/>
      <c r="Y792" s="5"/>
      <c r="Z792" s="5"/>
    </row>
    <row r="793" spans="1:26" ht="14.25" customHeight="1">
      <c r="A793" s="5"/>
      <c r="B793" s="22"/>
      <c r="C793" s="22"/>
      <c r="D793" s="5"/>
      <c r="E793" s="5"/>
      <c r="F793" s="22"/>
      <c r="G793" s="5"/>
      <c r="H793" s="5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5"/>
      <c r="V793" s="5"/>
      <c r="W793" s="5"/>
      <c r="X793" s="5"/>
      <c r="Y793" s="5"/>
      <c r="Z793" s="5"/>
    </row>
    <row r="794" spans="1:26" ht="14.25" customHeight="1">
      <c r="A794" s="5"/>
      <c r="B794" s="22"/>
      <c r="C794" s="22"/>
      <c r="D794" s="5"/>
      <c r="E794" s="5"/>
      <c r="F794" s="22"/>
      <c r="G794" s="5"/>
      <c r="H794" s="5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5"/>
      <c r="V794" s="5"/>
      <c r="W794" s="5"/>
      <c r="X794" s="5"/>
      <c r="Y794" s="5"/>
      <c r="Z794" s="5"/>
    </row>
    <row r="795" spans="1:26" ht="14.25" customHeight="1">
      <c r="A795" s="5"/>
      <c r="B795" s="22"/>
      <c r="C795" s="22"/>
      <c r="D795" s="5"/>
      <c r="E795" s="5"/>
      <c r="F795" s="22"/>
      <c r="G795" s="5"/>
      <c r="H795" s="5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5"/>
      <c r="V795" s="5"/>
      <c r="W795" s="5"/>
      <c r="X795" s="5"/>
      <c r="Y795" s="5"/>
      <c r="Z795" s="5"/>
    </row>
    <row r="796" spans="1:26" ht="14.25" customHeight="1">
      <c r="A796" s="5"/>
      <c r="B796" s="22"/>
      <c r="C796" s="22"/>
      <c r="D796" s="5"/>
      <c r="E796" s="5"/>
      <c r="F796" s="22"/>
      <c r="G796" s="5"/>
      <c r="H796" s="5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5"/>
      <c r="V796" s="5"/>
      <c r="W796" s="5"/>
      <c r="X796" s="5"/>
      <c r="Y796" s="5"/>
      <c r="Z796" s="5"/>
    </row>
    <row r="797" spans="1:26" ht="14.25" customHeight="1">
      <c r="A797" s="5"/>
      <c r="B797" s="22"/>
      <c r="C797" s="22"/>
      <c r="D797" s="5"/>
      <c r="E797" s="5"/>
      <c r="F797" s="22"/>
      <c r="G797" s="5"/>
      <c r="H797" s="5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5"/>
      <c r="V797" s="5"/>
      <c r="W797" s="5"/>
      <c r="X797" s="5"/>
      <c r="Y797" s="5"/>
      <c r="Z797" s="5"/>
    </row>
    <row r="798" spans="1:26" ht="14.25" customHeight="1">
      <c r="A798" s="5"/>
      <c r="B798" s="22"/>
      <c r="C798" s="22"/>
      <c r="D798" s="5"/>
      <c r="E798" s="5"/>
      <c r="F798" s="22"/>
      <c r="G798" s="5"/>
      <c r="H798" s="5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5"/>
      <c r="V798" s="5"/>
      <c r="W798" s="5"/>
      <c r="X798" s="5"/>
      <c r="Y798" s="5"/>
      <c r="Z798" s="5"/>
    </row>
    <row r="799" spans="1:26" ht="14.25" customHeight="1">
      <c r="A799" s="5"/>
      <c r="B799" s="22"/>
      <c r="C799" s="22"/>
      <c r="D799" s="5"/>
      <c r="E799" s="5"/>
      <c r="F799" s="22"/>
      <c r="G799" s="5"/>
      <c r="H799" s="5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5"/>
      <c r="V799" s="5"/>
      <c r="W799" s="5"/>
      <c r="X799" s="5"/>
      <c r="Y799" s="5"/>
      <c r="Z799" s="5"/>
    </row>
    <row r="800" spans="1:26" ht="14.25" customHeight="1">
      <c r="A800" s="5"/>
      <c r="B800" s="22"/>
      <c r="C800" s="22"/>
      <c r="D800" s="5"/>
      <c r="E800" s="5"/>
      <c r="F800" s="22"/>
      <c r="G800" s="5"/>
      <c r="H800" s="5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5"/>
      <c r="V800" s="5"/>
      <c r="W800" s="5"/>
      <c r="X800" s="5"/>
      <c r="Y800" s="5"/>
      <c r="Z800" s="5"/>
    </row>
    <row r="801" spans="1:26" ht="14.25" customHeight="1">
      <c r="A801" s="5"/>
      <c r="B801" s="22"/>
      <c r="C801" s="22"/>
      <c r="D801" s="5"/>
      <c r="E801" s="5"/>
      <c r="F801" s="22"/>
      <c r="G801" s="5"/>
      <c r="H801" s="5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5"/>
      <c r="V801" s="5"/>
      <c r="W801" s="5"/>
      <c r="X801" s="5"/>
      <c r="Y801" s="5"/>
      <c r="Z801" s="5"/>
    </row>
    <row r="802" spans="1:26" ht="14.25" customHeight="1">
      <c r="A802" s="5"/>
      <c r="B802" s="22"/>
      <c r="C802" s="22"/>
      <c r="D802" s="5"/>
      <c r="E802" s="5"/>
      <c r="F802" s="22"/>
      <c r="G802" s="5"/>
      <c r="H802" s="5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5"/>
      <c r="V802" s="5"/>
      <c r="W802" s="5"/>
      <c r="X802" s="5"/>
      <c r="Y802" s="5"/>
      <c r="Z802" s="5"/>
    </row>
    <row r="803" spans="1:26" ht="14.25" customHeight="1">
      <c r="A803" s="5"/>
      <c r="B803" s="22"/>
      <c r="C803" s="22"/>
      <c r="D803" s="5"/>
      <c r="E803" s="5"/>
      <c r="F803" s="22"/>
      <c r="G803" s="5"/>
      <c r="H803" s="5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5"/>
      <c r="V803" s="5"/>
      <c r="W803" s="5"/>
      <c r="X803" s="5"/>
      <c r="Y803" s="5"/>
      <c r="Z803" s="5"/>
    </row>
    <row r="804" spans="1:26" ht="14.25" customHeight="1">
      <c r="A804" s="5"/>
      <c r="B804" s="22"/>
      <c r="C804" s="22"/>
      <c r="D804" s="5"/>
      <c r="E804" s="5"/>
      <c r="F804" s="22"/>
      <c r="G804" s="5"/>
      <c r="H804" s="5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5"/>
      <c r="V804" s="5"/>
      <c r="W804" s="5"/>
      <c r="X804" s="5"/>
      <c r="Y804" s="5"/>
      <c r="Z804" s="5"/>
    </row>
    <row r="805" spans="1:26" ht="14.25" customHeight="1">
      <c r="A805" s="5"/>
      <c r="B805" s="22"/>
      <c r="C805" s="22"/>
      <c r="D805" s="5"/>
      <c r="E805" s="5"/>
      <c r="F805" s="22"/>
      <c r="G805" s="5"/>
      <c r="H805" s="5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5"/>
      <c r="V805" s="5"/>
      <c r="W805" s="5"/>
      <c r="X805" s="5"/>
      <c r="Y805" s="5"/>
      <c r="Z805" s="5"/>
    </row>
    <row r="806" spans="1:26" ht="14.25" customHeight="1">
      <c r="A806" s="5"/>
      <c r="B806" s="22"/>
      <c r="C806" s="22"/>
      <c r="D806" s="5"/>
      <c r="E806" s="5"/>
      <c r="F806" s="22"/>
      <c r="G806" s="5"/>
      <c r="H806" s="5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5"/>
      <c r="V806" s="5"/>
      <c r="W806" s="5"/>
      <c r="X806" s="5"/>
      <c r="Y806" s="5"/>
      <c r="Z806" s="5"/>
    </row>
    <row r="807" spans="1:26" ht="14.25" customHeight="1">
      <c r="A807" s="5"/>
      <c r="B807" s="22"/>
      <c r="C807" s="22"/>
      <c r="D807" s="5"/>
      <c r="E807" s="5"/>
      <c r="F807" s="22"/>
      <c r="G807" s="5"/>
      <c r="H807" s="5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5"/>
      <c r="V807" s="5"/>
      <c r="W807" s="5"/>
      <c r="X807" s="5"/>
      <c r="Y807" s="5"/>
      <c r="Z807" s="5"/>
    </row>
    <row r="808" spans="1:26" ht="14.25" customHeight="1">
      <c r="A808" s="5"/>
      <c r="B808" s="22"/>
      <c r="C808" s="22"/>
      <c r="D808" s="5"/>
      <c r="E808" s="5"/>
      <c r="F808" s="22"/>
      <c r="G808" s="5"/>
      <c r="H808" s="5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5"/>
      <c r="V808" s="5"/>
      <c r="W808" s="5"/>
      <c r="X808" s="5"/>
      <c r="Y808" s="5"/>
      <c r="Z808" s="5"/>
    </row>
    <row r="809" spans="1:26" ht="14.25" customHeight="1">
      <c r="A809" s="5"/>
      <c r="B809" s="22"/>
      <c r="C809" s="22"/>
      <c r="D809" s="5"/>
      <c r="E809" s="5"/>
      <c r="F809" s="22"/>
      <c r="G809" s="5"/>
      <c r="H809" s="5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5"/>
      <c r="V809" s="5"/>
      <c r="W809" s="5"/>
      <c r="X809" s="5"/>
      <c r="Y809" s="5"/>
      <c r="Z809" s="5"/>
    </row>
    <row r="810" spans="1:26" ht="14.25" customHeight="1">
      <c r="A810" s="5"/>
      <c r="B810" s="22"/>
      <c r="C810" s="22"/>
      <c r="D810" s="5"/>
      <c r="E810" s="5"/>
      <c r="F810" s="22"/>
      <c r="G810" s="5"/>
      <c r="H810" s="5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5"/>
      <c r="V810" s="5"/>
      <c r="W810" s="5"/>
      <c r="X810" s="5"/>
      <c r="Y810" s="5"/>
      <c r="Z810" s="5"/>
    </row>
    <row r="811" spans="1:26" ht="14.25" customHeight="1">
      <c r="A811" s="5"/>
      <c r="B811" s="22"/>
      <c r="C811" s="22"/>
      <c r="D811" s="5"/>
      <c r="E811" s="5"/>
      <c r="F811" s="22"/>
      <c r="G811" s="5"/>
      <c r="H811" s="5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5"/>
      <c r="V811" s="5"/>
      <c r="W811" s="5"/>
      <c r="X811" s="5"/>
      <c r="Y811" s="5"/>
      <c r="Z811" s="5"/>
    </row>
    <row r="812" spans="1:26" ht="14.25" customHeight="1">
      <c r="A812" s="5"/>
      <c r="B812" s="22"/>
      <c r="C812" s="22"/>
      <c r="D812" s="5"/>
      <c r="E812" s="5"/>
      <c r="F812" s="22"/>
      <c r="G812" s="5"/>
      <c r="H812" s="5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5"/>
      <c r="V812" s="5"/>
      <c r="W812" s="5"/>
      <c r="X812" s="5"/>
      <c r="Y812" s="5"/>
      <c r="Z812" s="5"/>
    </row>
    <row r="813" spans="1:26" ht="14.25" customHeight="1">
      <c r="A813" s="5"/>
      <c r="B813" s="22"/>
      <c r="C813" s="22"/>
      <c r="D813" s="5"/>
      <c r="E813" s="5"/>
      <c r="F813" s="22"/>
      <c r="G813" s="5"/>
      <c r="H813" s="5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5"/>
      <c r="V813" s="5"/>
      <c r="W813" s="5"/>
      <c r="X813" s="5"/>
      <c r="Y813" s="5"/>
      <c r="Z813" s="5"/>
    </row>
    <row r="814" spans="1:26" ht="14.25" customHeight="1">
      <c r="A814" s="5"/>
      <c r="B814" s="22"/>
      <c r="C814" s="22"/>
      <c r="D814" s="5"/>
      <c r="E814" s="5"/>
      <c r="F814" s="22"/>
      <c r="G814" s="5"/>
      <c r="H814" s="5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5"/>
      <c r="V814" s="5"/>
      <c r="W814" s="5"/>
      <c r="X814" s="5"/>
      <c r="Y814" s="5"/>
      <c r="Z814" s="5"/>
    </row>
    <row r="815" spans="1:26" ht="14.25" customHeight="1">
      <c r="A815" s="5"/>
      <c r="B815" s="22"/>
      <c r="C815" s="22"/>
      <c r="D815" s="5"/>
      <c r="E815" s="5"/>
      <c r="F815" s="22"/>
      <c r="G815" s="5"/>
      <c r="H815" s="5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5"/>
      <c r="V815" s="5"/>
      <c r="W815" s="5"/>
      <c r="X815" s="5"/>
      <c r="Y815" s="5"/>
      <c r="Z815" s="5"/>
    </row>
    <row r="816" spans="1:26" ht="14.25" customHeight="1">
      <c r="A816" s="5"/>
      <c r="B816" s="22"/>
      <c r="C816" s="22"/>
      <c r="D816" s="5"/>
      <c r="E816" s="5"/>
      <c r="F816" s="22"/>
      <c r="G816" s="5"/>
      <c r="H816" s="5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5"/>
      <c r="V816" s="5"/>
      <c r="W816" s="5"/>
      <c r="X816" s="5"/>
      <c r="Y816" s="5"/>
      <c r="Z816" s="5"/>
    </row>
    <row r="817" spans="1:26" ht="14.25" customHeight="1">
      <c r="A817" s="5"/>
      <c r="B817" s="22"/>
      <c r="C817" s="22"/>
      <c r="D817" s="5"/>
      <c r="E817" s="5"/>
      <c r="F817" s="22"/>
      <c r="G817" s="5"/>
      <c r="H817" s="5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5"/>
      <c r="V817" s="5"/>
      <c r="W817" s="5"/>
      <c r="X817" s="5"/>
      <c r="Y817" s="5"/>
      <c r="Z817" s="5"/>
    </row>
    <row r="818" spans="1:26" ht="14.25" customHeight="1">
      <c r="A818" s="5"/>
      <c r="B818" s="22"/>
      <c r="C818" s="22"/>
      <c r="D818" s="5"/>
      <c r="E818" s="5"/>
      <c r="F818" s="22"/>
      <c r="G818" s="5"/>
      <c r="H818" s="5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5"/>
      <c r="V818" s="5"/>
      <c r="W818" s="5"/>
      <c r="X818" s="5"/>
      <c r="Y818" s="5"/>
      <c r="Z818" s="5"/>
    </row>
    <row r="819" spans="1:26" ht="14.25" customHeight="1">
      <c r="A819" s="5"/>
      <c r="B819" s="22"/>
      <c r="C819" s="22"/>
      <c r="D819" s="5"/>
      <c r="E819" s="5"/>
      <c r="F819" s="22"/>
      <c r="G819" s="5"/>
      <c r="H819" s="5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5"/>
      <c r="V819" s="5"/>
      <c r="W819" s="5"/>
      <c r="X819" s="5"/>
      <c r="Y819" s="5"/>
      <c r="Z819" s="5"/>
    </row>
    <row r="820" spans="1:26" ht="14.25" customHeight="1">
      <c r="A820" s="5"/>
      <c r="B820" s="22"/>
      <c r="C820" s="22"/>
      <c r="D820" s="5"/>
      <c r="E820" s="5"/>
      <c r="F820" s="22"/>
      <c r="G820" s="5"/>
      <c r="H820" s="5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5"/>
      <c r="V820" s="5"/>
      <c r="W820" s="5"/>
      <c r="X820" s="5"/>
      <c r="Y820" s="5"/>
      <c r="Z820" s="5"/>
    </row>
    <row r="821" spans="1:26" ht="14.25" customHeight="1">
      <c r="A821" s="5"/>
      <c r="B821" s="22"/>
      <c r="C821" s="22"/>
      <c r="D821" s="5"/>
      <c r="E821" s="5"/>
      <c r="F821" s="22"/>
      <c r="G821" s="5"/>
      <c r="H821" s="5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5"/>
      <c r="V821" s="5"/>
      <c r="W821" s="5"/>
      <c r="X821" s="5"/>
      <c r="Y821" s="5"/>
      <c r="Z821" s="5"/>
    </row>
    <row r="822" spans="1:26" ht="14.25" customHeight="1">
      <c r="A822" s="5"/>
      <c r="B822" s="22"/>
      <c r="C822" s="22"/>
      <c r="D822" s="5"/>
      <c r="E822" s="5"/>
      <c r="F822" s="22"/>
      <c r="G822" s="5"/>
      <c r="H822" s="5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5"/>
      <c r="V822" s="5"/>
      <c r="W822" s="5"/>
      <c r="X822" s="5"/>
      <c r="Y822" s="5"/>
      <c r="Z822" s="5"/>
    </row>
    <row r="823" spans="1:26" ht="14.25" customHeight="1">
      <c r="A823" s="5"/>
      <c r="B823" s="22"/>
      <c r="C823" s="22"/>
      <c r="D823" s="5"/>
      <c r="E823" s="5"/>
      <c r="F823" s="22"/>
      <c r="G823" s="5"/>
      <c r="H823" s="5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5"/>
      <c r="V823" s="5"/>
      <c r="W823" s="5"/>
      <c r="X823" s="5"/>
      <c r="Y823" s="5"/>
      <c r="Z823" s="5"/>
    </row>
    <row r="824" spans="1:26" ht="14.25" customHeight="1">
      <c r="A824" s="5"/>
      <c r="B824" s="22"/>
      <c r="C824" s="22"/>
      <c r="D824" s="5"/>
      <c r="E824" s="5"/>
      <c r="F824" s="22"/>
      <c r="G824" s="5"/>
      <c r="H824" s="5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5"/>
      <c r="V824" s="5"/>
      <c r="W824" s="5"/>
      <c r="X824" s="5"/>
      <c r="Y824" s="5"/>
      <c r="Z824" s="5"/>
    </row>
    <row r="825" spans="1:26" ht="14.25" customHeight="1">
      <c r="A825" s="5"/>
      <c r="B825" s="22"/>
      <c r="C825" s="22"/>
      <c r="D825" s="5"/>
      <c r="E825" s="5"/>
      <c r="F825" s="22"/>
      <c r="G825" s="5"/>
      <c r="H825" s="5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5"/>
      <c r="V825" s="5"/>
      <c r="W825" s="5"/>
      <c r="X825" s="5"/>
      <c r="Y825" s="5"/>
      <c r="Z825" s="5"/>
    </row>
    <row r="826" spans="1:26" ht="14.25" customHeight="1">
      <c r="A826" s="5"/>
      <c r="B826" s="22"/>
      <c r="C826" s="22"/>
      <c r="D826" s="5"/>
      <c r="E826" s="5"/>
      <c r="F826" s="22"/>
      <c r="G826" s="5"/>
      <c r="H826" s="5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5"/>
      <c r="V826" s="5"/>
      <c r="W826" s="5"/>
      <c r="X826" s="5"/>
      <c r="Y826" s="5"/>
      <c r="Z826" s="5"/>
    </row>
    <row r="827" spans="1:26" ht="14.25" customHeight="1">
      <c r="A827" s="5"/>
      <c r="B827" s="22"/>
      <c r="C827" s="22"/>
      <c r="D827" s="5"/>
      <c r="E827" s="5"/>
      <c r="F827" s="22"/>
      <c r="G827" s="5"/>
      <c r="H827" s="5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5"/>
      <c r="V827" s="5"/>
      <c r="W827" s="5"/>
      <c r="X827" s="5"/>
      <c r="Y827" s="5"/>
      <c r="Z827" s="5"/>
    </row>
    <row r="828" spans="1:26" ht="14.25" customHeight="1">
      <c r="A828" s="5"/>
      <c r="B828" s="22"/>
      <c r="C828" s="22"/>
      <c r="D828" s="5"/>
      <c r="E828" s="5"/>
      <c r="F828" s="22"/>
      <c r="G828" s="5"/>
      <c r="H828" s="5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5"/>
      <c r="V828" s="5"/>
      <c r="W828" s="5"/>
      <c r="X828" s="5"/>
      <c r="Y828" s="5"/>
      <c r="Z828" s="5"/>
    </row>
    <row r="829" spans="1:26" ht="14.25" customHeight="1">
      <c r="A829" s="5"/>
      <c r="B829" s="22"/>
      <c r="C829" s="22"/>
      <c r="D829" s="5"/>
      <c r="E829" s="5"/>
      <c r="F829" s="22"/>
      <c r="G829" s="5"/>
      <c r="H829" s="5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5"/>
      <c r="V829" s="5"/>
      <c r="W829" s="5"/>
      <c r="X829" s="5"/>
      <c r="Y829" s="5"/>
      <c r="Z829" s="5"/>
    </row>
    <row r="830" spans="1:26" ht="14.25" customHeight="1">
      <c r="A830" s="5"/>
      <c r="B830" s="22"/>
      <c r="C830" s="22"/>
      <c r="D830" s="5"/>
      <c r="E830" s="5"/>
      <c r="F830" s="22"/>
      <c r="G830" s="5"/>
      <c r="H830" s="5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5"/>
      <c r="V830" s="5"/>
      <c r="W830" s="5"/>
      <c r="X830" s="5"/>
      <c r="Y830" s="5"/>
      <c r="Z830" s="5"/>
    </row>
    <row r="831" spans="1:26" ht="14.25" customHeight="1">
      <c r="A831" s="5"/>
      <c r="B831" s="22"/>
      <c r="C831" s="22"/>
      <c r="D831" s="5"/>
      <c r="E831" s="5"/>
      <c r="F831" s="22"/>
      <c r="G831" s="5"/>
      <c r="H831" s="5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5"/>
      <c r="V831" s="5"/>
      <c r="W831" s="5"/>
      <c r="X831" s="5"/>
      <c r="Y831" s="5"/>
      <c r="Z831" s="5"/>
    </row>
    <row r="832" spans="1:26" ht="14.25" customHeight="1">
      <c r="A832" s="5"/>
      <c r="B832" s="22"/>
      <c r="C832" s="22"/>
      <c r="D832" s="5"/>
      <c r="E832" s="5"/>
      <c r="F832" s="22"/>
      <c r="G832" s="5"/>
      <c r="H832" s="5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5"/>
      <c r="V832" s="5"/>
      <c r="W832" s="5"/>
      <c r="X832" s="5"/>
      <c r="Y832" s="5"/>
      <c r="Z832" s="5"/>
    </row>
    <row r="833" spans="1:26" ht="14.25" customHeight="1">
      <c r="A833" s="5"/>
      <c r="B833" s="22"/>
      <c r="C833" s="22"/>
      <c r="D833" s="5"/>
      <c r="E833" s="5"/>
      <c r="F833" s="22"/>
      <c r="G833" s="5"/>
      <c r="H833" s="5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5"/>
      <c r="V833" s="5"/>
      <c r="W833" s="5"/>
      <c r="X833" s="5"/>
      <c r="Y833" s="5"/>
      <c r="Z833" s="5"/>
    </row>
    <row r="834" spans="1:26" ht="14.25" customHeight="1">
      <c r="A834" s="5"/>
      <c r="B834" s="22"/>
      <c r="C834" s="22"/>
      <c r="D834" s="5"/>
      <c r="E834" s="5"/>
      <c r="F834" s="22"/>
      <c r="G834" s="5"/>
      <c r="H834" s="5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5"/>
      <c r="V834" s="5"/>
      <c r="W834" s="5"/>
      <c r="X834" s="5"/>
      <c r="Y834" s="5"/>
      <c r="Z834" s="5"/>
    </row>
    <row r="835" spans="1:26" ht="14.25" customHeight="1">
      <c r="A835" s="5"/>
      <c r="B835" s="22"/>
      <c r="C835" s="22"/>
      <c r="D835" s="5"/>
      <c r="E835" s="5"/>
      <c r="F835" s="22"/>
      <c r="G835" s="5"/>
      <c r="H835" s="5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5"/>
      <c r="V835" s="5"/>
      <c r="W835" s="5"/>
      <c r="X835" s="5"/>
      <c r="Y835" s="5"/>
      <c r="Z835" s="5"/>
    </row>
    <row r="836" spans="1:26" ht="14.25" customHeight="1">
      <c r="A836" s="5"/>
      <c r="B836" s="22"/>
      <c r="C836" s="22"/>
      <c r="D836" s="5"/>
      <c r="E836" s="5"/>
      <c r="F836" s="22"/>
      <c r="G836" s="5"/>
      <c r="H836" s="5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5"/>
      <c r="V836" s="5"/>
      <c r="W836" s="5"/>
      <c r="X836" s="5"/>
      <c r="Y836" s="5"/>
      <c r="Z836" s="5"/>
    </row>
    <row r="837" spans="1:26" ht="14.25" customHeight="1">
      <c r="A837" s="5"/>
      <c r="B837" s="22"/>
      <c r="C837" s="22"/>
      <c r="D837" s="5"/>
      <c r="E837" s="5"/>
      <c r="F837" s="22"/>
      <c r="G837" s="5"/>
      <c r="H837" s="5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5"/>
      <c r="V837" s="5"/>
      <c r="W837" s="5"/>
      <c r="X837" s="5"/>
      <c r="Y837" s="5"/>
      <c r="Z837" s="5"/>
    </row>
    <row r="838" spans="1:26" ht="14.25" customHeight="1">
      <c r="A838" s="5"/>
      <c r="B838" s="22"/>
      <c r="C838" s="22"/>
      <c r="D838" s="5"/>
      <c r="E838" s="5"/>
      <c r="F838" s="22"/>
      <c r="G838" s="5"/>
      <c r="H838" s="5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5"/>
      <c r="V838" s="5"/>
      <c r="W838" s="5"/>
      <c r="X838" s="5"/>
      <c r="Y838" s="5"/>
      <c r="Z838" s="5"/>
    </row>
    <row r="839" spans="1:26" ht="14.25" customHeight="1">
      <c r="A839" s="5"/>
      <c r="B839" s="22"/>
      <c r="C839" s="22"/>
      <c r="D839" s="5"/>
      <c r="E839" s="5"/>
      <c r="F839" s="22"/>
      <c r="G839" s="5"/>
      <c r="H839" s="5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5"/>
      <c r="V839" s="5"/>
      <c r="W839" s="5"/>
      <c r="X839" s="5"/>
      <c r="Y839" s="5"/>
      <c r="Z839" s="5"/>
    </row>
    <row r="840" spans="1:26" ht="14.25" customHeight="1">
      <c r="A840" s="5"/>
      <c r="B840" s="22"/>
      <c r="C840" s="22"/>
      <c r="D840" s="5"/>
      <c r="E840" s="5"/>
      <c r="F840" s="22"/>
      <c r="G840" s="5"/>
      <c r="H840" s="5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5"/>
      <c r="V840" s="5"/>
      <c r="W840" s="5"/>
      <c r="X840" s="5"/>
      <c r="Y840" s="5"/>
      <c r="Z840" s="5"/>
    </row>
    <row r="841" spans="1:26" ht="14.25" customHeight="1">
      <c r="A841" s="5"/>
      <c r="B841" s="22"/>
      <c r="C841" s="22"/>
      <c r="D841" s="5"/>
      <c r="E841" s="5"/>
      <c r="F841" s="22"/>
      <c r="G841" s="5"/>
      <c r="H841" s="5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5"/>
      <c r="V841" s="5"/>
      <c r="W841" s="5"/>
      <c r="X841" s="5"/>
      <c r="Y841" s="5"/>
      <c r="Z841" s="5"/>
    </row>
    <row r="842" spans="1:26" ht="14.25" customHeight="1">
      <c r="A842" s="5"/>
      <c r="B842" s="22"/>
      <c r="C842" s="22"/>
      <c r="D842" s="5"/>
      <c r="E842" s="5"/>
      <c r="F842" s="22"/>
      <c r="G842" s="5"/>
      <c r="H842" s="5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5"/>
      <c r="V842" s="5"/>
      <c r="W842" s="5"/>
      <c r="X842" s="5"/>
      <c r="Y842" s="5"/>
      <c r="Z842" s="5"/>
    </row>
    <row r="843" spans="1:26" ht="14.25" customHeight="1">
      <c r="A843" s="5"/>
      <c r="B843" s="22"/>
      <c r="C843" s="22"/>
      <c r="D843" s="5"/>
      <c r="E843" s="5"/>
      <c r="F843" s="22"/>
      <c r="G843" s="5"/>
      <c r="H843" s="5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5"/>
      <c r="V843" s="5"/>
      <c r="W843" s="5"/>
      <c r="X843" s="5"/>
      <c r="Y843" s="5"/>
      <c r="Z843" s="5"/>
    </row>
    <row r="844" spans="1:26" ht="14.25" customHeight="1">
      <c r="A844" s="5"/>
      <c r="B844" s="22"/>
      <c r="C844" s="22"/>
      <c r="D844" s="5"/>
      <c r="E844" s="5"/>
      <c r="F844" s="22"/>
      <c r="G844" s="5"/>
      <c r="H844" s="5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5"/>
      <c r="V844" s="5"/>
      <c r="W844" s="5"/>
      <c r="X844" s="5"/>
      <c r="Y844" s="5"/>
      <c r="Z844" s="5"/>
    </row>
    <row r="845" spans="1:26" ht="14.25" customHeight="1">
      <c r="A845" s="5"/>
      <c r="B845" s="22"/>
      <c r="C845" s="22"/>
      <c r="D845" s="5"/>
      <c r="E845" s="5"/>
      <c r="F845" s="22"/>
      <c r="G845" s="5"/>
      <c r="H845" s="5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5"/>
      <c r="V845" s="5"/>
      <c r="W845" s="5"/>
      <c r="X845" s="5"/>
      <c r="Y845" s="5"/>
      <c r="Z845" s="5"/>
    </row>
    <row r="846" spans="1:26" ht="14.25" customHeight="1">
      <c r="A846" s="5"/>
      <c r="B846" s="22"/>
      <c r="C846" s="22"/>
      <c r="D846" s="5"/>
      <c r="E846" s="5"/>
      <c r="F846" s="22"/>
      <c r="G846" s="5"/>
      <c r="H846" s="5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5"/>
      <c r="V846" s="5"/>
      <c r="W846" s="5"/>
      <c r="X846" s="5"/>
      <c r="Y846" s="5"/>
      <c r="Z846" s="5"/>
    </row>
    <row r="847" spans="1:26" ht="14.25" customHeight="1">
      <c r="A847" s="5"/>
      <c r="B847" s="22"/>
      <c r="C847" s="22"/>
      <c r="D847" s="5"/>
      <c r="E847" s="5"/>
      <c r="F847" s="22"/>
      <c r="G847" s="5"/>
      <c r="H847" s="5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5"/>
      <c r="V847" s="5"/>
      <c r="W847" s="5"/>
      <c r="X847" s="5"/>
      <c r="Y847" s="5"/>
      <c r="Z847" s="5"/>
    </row>
    <row r="848" spans="1:26" ht="14.25" customHeight="1">
      <c r="A848" s="5"/>
      <c r="B848" s="22"/>
      <c r="C848" s="22"/>
      <c r="D848" s="5"/>
      <c r="E848" s="5"/>
      <c r="F848" s="22"/>
      <c r="G848" s="5"/>
      <c r="H848" s="5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5"/>
      <c r="V848" s="5"/>
      <c r="W848" s="5"/>
      <c r="X848" s="5"/>
      <c r="Y848" s="5"/>
      <c r="Z848" s="5"/>
    </row>
    <row r="849" spans="1:26" ht="14.25" customHeight="1">
      <c r="A849" s="5"/>
      <c r="B849" s="22"/>
      <c r="C849" s="22"/>
      <c r="D849" s="5"/>
      <c r="E849" s="5"/>
      <c r="F849" s="22"/>
      <c r="G849" s="5"/>
      <c r="H849" s="5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5"/>
      <c r="V849" s="5"/>
      <c r="W849" s="5"/>
      <c r="X849" s="5"/>
      <c r="Y849" s="5"/>
      <c r="Z849" s="5"/>
    </row>
    <row r="850" spans="1:26" ht="14.25" customHeight="1">
      <c r="A850" s="5"/>
      <c r="B850" s="22"/>
      <c r="C850" s="22"/>
      <c r="D850" s="5"/>
      <c r="E850" s="5"/>
      <c r="F850" s="22"/>
      <c r="G850" s="5"/>
      <c r="H850" s="5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5"/>
      <c r="V850" s="5"/>
      <c r="W850" s="5"/>
      <c r="X850" s="5"/>
      <c r="Y850" s="5"/>
      <c r="Z850" s="5"/>
    </row>
    <row r="851" spans="1:26" ht="14.25" customHeight="1">
      <c r="A851" s="5"/>
      <c r="B851" s="22"/>
      <c r="C851" s="22"/>
      <c r="D851" s="5"/>
      <c r="E851" s="5"/>
      <c r="F851" s="22"/>
      <c r="G851" s="5"/>
      <c r="H851" s="5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5"/>
      <c r="V851" s="5"/>
      <c r="W851" s="5"/>
      <c r="X851" s="5"/>
      <c r="Y851" s="5"/>
      <c r="Z851" s="5"/>
    </row>
    <row r="852" spans="1:26" ht="14.25" customHeight="1">
      <c r="A852" s="5"/>
      <c r="B852" s="22"/>
      <c r="C852" s="22"/>
      <c r="D852" s="5"/>
      <c r="E852" s="5"/>
      <c r="F852" s="22"/>
      <c r="G852" s="5"/>
      <c r="H852" s="5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5"/>
      <c r="V852" s="5"/>
      <c r="W852" s="5"/>
      <c r="X852" s="5"/>
      <c r="Y852" s="5"/>
      <c r="Z852" s="5"/>
    </row>
    <row r="853" spans="1:26" ht="14.25" customHeight="1">
      <c r="A853" s="5"/>
      <c r="B853" s="22"/>
      <c r="C853" s="22"/>
      <c r="D853" s="5"/>
      <c r="E853" s="5"/>
      <c r="F853" s="22"/>
      <c r="G853" s="5"/>
      <c r="H853" s="5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5"/>
      <c r="V853" s="5"/>
      <c r="W853" s="5"/>
      <c r="X853" s="5"/>
      <c r="Y853" s="5"/>
      <c r="Z853" s="5"/>
    </row>
    <row r="854" spans="1:26" ht="14.25" customHeight="1">
      <c r="A854" s="5"/>
      <c r="B854" s="22"/>
      <c r="C854" s="22"/>
      <c r="D854" s="5"/>
      <c r="E854" s="5"/>
      <c r="F854" s="22"/>
      <c r="G854" s="5"/>
      <c r="H854" s="5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5"/>
      <c r="V854" s="5"/>
      <c r="W854" s="5"/>
      <c r="X854" s="5"/>
      <c r="Y854" s="5"/>
      <c r="Z854" s="5"/>
    </row>
    <row r="855" spans="1:26" ht="14.25" customHeight="1">
      <c r="A855" s="5"/>
      <c r="B855" s="22"/>
      <c r="C855" s="22"/>
      <c r="D855" s="5"/>
      <c r="E855" s="5"/>
      <c r="F855" s="22"/>
      <c r="G855" s="5"/>
      <c r="H855" s="5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5"/>
      <c r="V855" s="5"/>
      <c r="W855" s="5"/>
      <c r="X855" s="5"/>
      <c r="Y855" s="5"/>
      <c r="Z855" s="5"/>
    </row>
    <row r="856" spans="1:26" ht="14.25" customHeight="1">
      <c r="A856" s="5"/>
      <c r="B856" s="22"/>
      <c r="C856" s="22"/>
      <c r="D856" s="5"/>
      <c r="E856" s="5"/>
      <c r="F856" s="22"/>
      <c r="G856" s="5"/>
      <c r="H856" s="5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5"/>
      <c r="V856" s="5"/>
      <c r="W856" s="5"/>
      <c r="X856" s="5"/>
      <c r="Y856" s="5"/>
      <c r="Z856" s="5"/>
    </row>
    <row r="857" spans="1:26" ht="14.25" customHeight="1">
      <c r="A857" s="5"/>
      <c r="B857" s="22"/>
      <c r="C857" s="22"/>
      <c r="D857" s="5"/>
      <c r="E857" s="5"/>
      <c r="F857" s="22"/>
      <c r="G857" s="5"/>
      <c r="H857" s="5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5"/>
      <c r="V857" s="5"/>
      <c r="W857" s="5"/>
      <c r="X857" s="5"/>
      <c r="Y857" s="5"/>
      <c r="Z857" s="5"/>
    </row>
    <row r="858" spans="1:26" ht="14.25" customHeight="1">
      <c r="A858" s="5"/>
      <c r="B858" s="22"/>
      <c r="C858" s="22"/>
      <c r="D858" s="5"/>
      <c r="E858" s="5"/>
      <c r="F858" s="22"/>
      <c r="G858" s="5"/>
      <c r="H858" s="5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5"/>
      <c r="V858" s="5"/>
      <c r="W858" s="5"/>
      <c r="X858" s="5"/>
      <c r="Y858" s="5"/>
      <c r="Z858" s="5"/>
    </row>
    <row r="859" spans="1:26" ht="14.25" customHeight="1">
      <c r="A859" s="5"/>
      <c r="B859" s="22"/>
      <c r="C859" s="22"/>
      <c r="D859" s="5"/>
      <c r="E859" s="5"/>
      <c r="F859" s="22"/>
      <c r="G859" s="5"/>
      <c r="H859" s="5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5"/>
      <c r="V859" s="5"/>
      <c r="W859" s="5"/>
      <c r="X859" s="5"/>
      <c r="Y859" s="5"/>
      <c r="Z859" s="5"/>
    </row>
    <row r="860" spans="1:26" ht="14.25" customHeight="1">
      <c r="A860" s="5"/>
      <c r="B860" s="22"/>
      <c r="C860" s="22"/>
      <c r="D860" s="5"/>
      <c r="E860" s="5"/>
      <c r="F860" s="22"/>
      <c r="G860" s="5"/>
      <c r="H860" s="5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5"/>
      <c r="V860" s="5"/>
      <c r="W860" s="5"/>
      <c r="X860" s="5"/>
      <c r="Y860" s="5"/>
      <c r="Z860" s="5"/>
    </row>
    <row r="861" spans="1:26" ht="14.25" customHeight="1">
      <c r="A861" s="5"/>
      <c r="B861" s="22"/>
      <c r="C861" s="22"/>
      <c r="D861" s="5"/>
      <c r="E861" s="5"/>
      <c r="F861" s="22"/>
      <c r="G861" s="5"/>
      <c r="H861" s="5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5"/>
      <c r="V861" s="5"/>
      <c r="W861" s="5"/>
      <c r="X861" s="5"/>
      <c r="Y861" s="5"/>
      <c r="Z861" s="5"/>
    </row>
    <row r="862" spans="1:26" ht="14.25" customHeight="1">
      <c r="A862" s="5"/>
      <c r="B862" s="22"/>
      <c r="C862" s="22"/>
      <c r="D862" s="5"/>
      <c r="E862" s="5"/>
      <c r="F862" s="22"/>
      <c r="G862" s="5"/>
      <c r="H862" s="5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5"/>
      <c r="V862" s="5"/>
      <c r="W862" s="5"/>
      <c r="X862" s="5"/>
      <c r="Y862" s="5"/>
      <c r="Z862" s="5"/>
    </row>
    <row r="863" spans="1:26" ht="14.25" customHeight="1">
      <c r="A863" s="5"/>
      <c r="B863" s="22"/>
      <c r="C863" s="22"/>
      <c r="D863" s="5"/>
      <c r="E863" s="5"/>
      <c r="F863" s="22"/>
      <c r="G863" s="5"/>
      <c r="H863" s="5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5"/>
      <c r="V863" s="5"/>
      <c r="W863" s="5"/>
      <c r="X863" s="5"/>
      <c r="Y863" s="5"/>
      <c r="Z863" s="5"/>
    </row>
    <row r="864" spans="1:26" ht="14.25" customHeight="1">
      <c r="A864" s="5"/>
      <c r="B864" s="22"/>
      <c r="C864" s="22"/>
      <c r="D864" s="5"/>
      <c r="E864" s="5"/>
      <c r="F864" s="22"/>
      <c r="G864" s="5"/>
      <c r="H864" s="5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5"/>
      <c r="V864" s="5"/>
      <c r="W864" s="5"/>
      <c r="X864" s="5"/>
      <c r="Y864" s="5"/>
      <c r="Z864" s="5"/>
    </row>
    <row r="865" spans="1:26" ht="14.25" customHeight="1">
      <c r="A865" s="5"/>
      <c r="B865" s="22"/>
      <c r="C865" s="22"/>
      <c r="D865" s="5"/>
      <c r="E865" s="5"/>
      <c r="F865" s="22"/>
      <c r="G865" s="5"/>
      <c r="H865" s="5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5"/>
      <c r="V865" s="5"/>
      <c r="W865" s="5"/>
      <c r="X865" s="5"/>
      <c r="Y865" s="5"/>
      <c r="Z865" s="5"/>
    </row>
    <row r="866" spans="1:26" ht="14.25" customHeight="1">
      <c r="A866" s="5"/>
      <c r="B866" s="22"/>
      <c r="C866" s="22"/>
      <c r="D866" s="5"/>
      <c r="E866" s="5"/>
      <c r="F866" s="22"/>
      <c r="G866" s="5"/>
      <c r="H866" s="5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5"/>
      <c r="V866" s="5"/>
      <c r="W866" s="5"/>
      <c r="X866" s="5"/>
      <c r="Y866" s="5"/>
      <c r="Z866" s="5"/>
    </row>
    <row r="867" spans="1:26" ht="14.25" customHeight="1">
      <c r="A867" s="5"/>
      <c r="B867" s="22"/>
      <c r="C867" s="22"/>
      <c r="D867" s="5"/>
      <c r="E867" s="5"/>
      <c r="F867" s="22"/>
      <c r="G867" s="5"/>
      <c r="H867" s="5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5"/>
      <c r="V867" s="5"/>
      <c r="W867" s="5"/>
      <c r="X867" s="5"/>
      <c r="Y867" s="5"/>
      <c r="Z867" s="5"/>
    </row>
    <row r="868" spans="1:26" ht="14.25" customHeight="1">
      <c r="A868" s="5"/>
      <c r="B868" s="22"/>
      <c r="C868" s="22"/>
      <c r="D868" s="5"/>
      <c r="E868" s="5"/>
      <c r="F868" s="22"/>
      <c r="G868" s="5"/>
      <c r="H868" s="5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5"/>
      <c r="V868" s="5"/>
      <c r="W868" s="5"/>
      <c r="X868" s="5"/>
      <c r="Y868" s="5"/>
      <c r="Z868" s="5"/>
    </row>
    <row r="869" spans="1:26" ht="14.25" customHeight="1">
      <c r="A869" s="5"/>
      <c r="B869" s="22"/>
      <c r="C869" s="22"/>
      <c r="D869" s="5"/>
      <c r="E869" s="5"/>
      <c r="F869" s="22"/>
      <c r="G869" s="5"/>
      <c r="H869" s="5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5"/>
      <c r="V869" s="5"/>
      <c r="W869" s="5"/>
      <c r="X869" s="5"/>
      <c r="Y869" s="5"/>
      <c r="Z869" s="5"/>
    </row>
    <row r="870" spans="1:26" ht="14.25" customHeight="1">
      <c r="A870" s="5"/>
      <c r="B870" s="22"/>
      <c r="C870" s="22"/>
      <c r="D870" s="5"/>
      <c r="E870" s="5"/>
      <c r="F870" s="22"/>
      <c r="G870" s="5"/>
      <c r="H870" s="5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5"/>
      <c r="V870" s="5"/>
      <c r="W870" s="5"/>
      <c r="X870" s="5"/>
      <c r="Y870" s="5"/>
      <c r="Z870" s="5"/>
    </row>
    <row r="871" spans="1:26" ht="14.25" customHeight="1">
      <c r="A871" s="5"/>
      <c r="B871" s="22"/>
      <c r="C871" s="22"/>
      <c r="D871" s="5"/>
      <c r="E871" s="5"/>
      <c r="F871" s="22"/>
      <c r="G871" s="5"/>
      <c r="H871" s="5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5"/>
      <c r="V871" s="5"/>
      <c r="W871" s="5"/>
      <c r="X871" s="5"/>
      <c r="Y871" s="5"/>
      <c r="Z871" s="5"/>
    </row>
    <row r="872" spans="1:26" ht="14.25" customHeight="1">
      <c r="A872" s="5"/>
      <c r="B872" s="22"/>
      <c r="C872" s="22"/>
      <c r="D872" s="5"/>
      <c r="E872" s="5"/>
      <c r="F872" s="22"/>
      <c r="G872" s="5"/>
      <c r="H872" s="5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5"/>
      <c r="V872" s="5"/>
      <c r="W872" s="5"/>
      <c r="X872" s="5"/>
      <c r="Y872" s="5"/>
      <c r="Z872" s="5"/>
    </row>
    <row r="873" spans="1:26" ht="14.25" customHeight="1">
      <c r="A873" s="5"/>
      <c r="B873" s="22"/>
      <c r="C873" s="22"/>
      <c r="D873" s="5"/>
      <c r="E873" s="5"/>
      <c r="F873" s="22"/>
      <c r="G873" s="5"/>
      <c r="H873" s="5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5"/>
      <c r="V873" s="5"/>
      <c r="W873" s="5"/>
      <c r="X873" s="5"/>
      <c r="Y873" s="5"/>
      <c r="Z873" s="5"/>
    </row>
    <row r="874" spans="1:26" ht="14.25" customHeight="1">
      <c r="A874" s="5"/>
      <c r="B874" s="22"/>
      <c r="C874" s="22"/>
      <c r="D874" s="5"/>
      <c r="E874" s="5"/>
      <c r="F874" s="22"/>
      <c r="G874" s="5"/>
      <c r="H874" s="5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5"/>
      <c r="V874" s="5"/>
      <c r="W874" s="5"/>
      <c r="X874" s="5"/>
      <c r="Y874" s="5"/>
      <c r="Z874" s="5"/>
    </row>
    <row r="875" spans="1:26" ht="14.25" customHeight="1">
      <c r="A875" s="5"/>
      <c r="B875" s="22"/>
      <c r="C875" s="22"/>
      <c r="D875" s="5"/>
      <c r="E875" s="5"/>
      <c r="F875" s="22"/>
      <c r="G875" s="5"/>
      <c r="H875" s="5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5"/>
      <c r="V875" s="5"/>
      <c r="W875" s="5"/>
      <c r="X875" s="5"/>
      <c r="Y875" s="5"/>
      <c r="Z875" s="5"/>
    </row>
    <row r="876" spans="1:26" ht="14.25" customHeight="1">
      <c r="A876" s="5"/>
      <c r="B876" s="22"/>
      <c r="C876" s="22"/>
      <c r="D876" s="5"/>
      <c r="E876" s="5"/>
      <c r="F876" s="22"/>
      <c r="G876" s="5"/>
      <c r="H876" s="5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5"/>
      <c r="V876" s="5"/>
      <c r="W876" s="5"/>
      <c r="X876" s="5"/>
      <c r="Y876" s="5"/>
      <c r="Z876" s="5"/>
    </row>
    <row r="877" spans="1:26" ht="14.25" customHeight="1">
      <c r="A877" s="5"/>
      <c r="B877" s="22"/>
      <c r="C877" s="22"/>
      <c r="D877" s="5"/>
      <c r="E877" s="5"/>
      <c r="F877" s="22"/>
      <c r="G877" s="5"/>
      <c r="H877" s="5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5"/>
      <c r="V877" s="5"/>
      <c r="W877" s="5"/>
      <c r="X877" s="5"/>
      <c r="Y877" s="5"/>
      <c r="Z877" s="5"/>
    </row>
    <row r="878" spans="1:26" ht="14.25" customHeight="1">
      <c r="A878" s="5"/>
      <c r="B878" s="22"/>
      <c r="C878" s="22"/>
      <c r="D878" s="5"/>
      <c r="E878" s="5"/>
      <c r="F878" s="22"/>
      <c r="G878" s="5"/>
      <c r="H878" s="5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5"/>
      <c r="V878" s="5"/>
      <c r="W878" s="5"/>
      <c r="X878" s="5"/>
      <c r="Y878" s="5"/>
      <c r="Z878" s="5"/>
    </row>
    <row r="879" spans="1:26" ht="14.25" customHeight="1">
      <c r="A879" s="5"/>
      <c r="B879" s="22"/>
      <c r="C879" s="22"/>
      <c r="D879" s="5"/>
      <c r="E879" s="5"/>
      <c r="F879" s="22"/>
      <c r="G879" s="5"/>
      <c r="H879" s="5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5"/>
      <c r="V879" s="5"/>
      <c r="W879" s="5"/>
      <c r="X879" s="5"/>
      <c r="Y879" s="5"/>
      <c r="Z879" s="5"/>
    </row>
    <row r="880" spans="1:26" ht="14.25" customHeight="1">
      <c r="A880" s="5"/>
      <c r="B880" s="22"/>
      <c r="C880" s="22"/>
      <c r="D880" s="5"/>
      <c r="E880" s="5"/>
      <c r="F880" s="22"/>
      <c r="G880" s="5"/>
      <c r="H880" s="5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5"/>
      <c r="V880" s="5"/>
      <c r="W880" s="5"/>
      <c r="X880" s="5"/>
      <c r="Y880" s="5"/>
      <c r="Z880" s="5"/>
    </row>
    <row r="881" spans="1:26" ht="14.25" customHeight="1">
      <c r="A881" s="5"/>
      <c r="B881" s="22"/>
      <c r="C881" s="22"/>
      <c r="D881" s="5"/>
      <c r="E881" s="5"/>
      <c r="F881" s="22"/>
      <c r="G881" s="5"/>
      <c r="H881" s="5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5"/>
      <c r="V881" s="5"/>
      <c r="W881" s="5"/>
      <c r="X881" s="5"/>
      <c r="Y881" s="5"/>
      <c r="Z881" s="5"/>
    </row>
    <row r="882" spans="1:26" ht="14.25" customHeight="1">
      <c r="A882" s="5"/>
      <c r="B882" s="22"/>
      <c r="C882" s="22"/>
      <c r="D882" s="5"/>
      <c r="E882" s="5"/>
      <c r="F882" s="22"/>
      <c r="G882" s="5"/>
      <c r="H882" s="5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5"/>
      <c r="V882" s="5"/>
      <c r="W882" s="5"/>
      <c r="X882" s="5"/>
      <c r="Y882" s="5"/>
      <c r="Z882" s="5"/>
    </row>
    <row r="883" spans="1:26" ht="14.25" customHeight="1">
      <c r="A883" s="5"/>
      <c r="B883" s="22"/>
      <c r="C883" s="22"/>
      <c r="D883" s="5"/>
      <c r="E883" s="5"/>
      <c r="F883" s="22"/>
      <c r="G883" s="5"/>
      <c r="H883" s="5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5"/>
      <c r="V883" s="5"/>
      <c r="W883" s="5"/>
      <c r="X883" s="5"/>
      <c r="Y883" s="5"/>
      <c r="Z883" s="5"/>
    </row>
    <row r="884" spans="1:26" ht="14.25" customHeight="1">
      <c r="A884" s="5"/>
      <c r="B884" s="22"/>
      <c r="C884" s="22"/>
      <c r="D884" s="5"/>
      <c r="E884" s="5"/>
      <c r="F884" s="22"/>
      <c r="G884" s="5"/>
      <c r="H884" s="5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5"/>
      <c r="V884" s="5"/>
      <c r="W884" s="5"/>
      <c r="X884" s="5"/>
      <c r="Y884" s="5"/>
      <c r="Z884" s="5"/>
    </row>
    <row r="885" spans="1:26" ht="14.25" customHeight="1">
      <c r="A885" s="5"/>
      <c r="B885" s="22"/>
      <c r="C885" s="22"/>
      <c r="D885" s="5"/>
      <c r="E885" s="5"/>
      <c r="F885" s="22"/>
      <c r="G885" s="5"/>
      <c r="H885" s="5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5"/>
      <c r="V885" s="5"/>
      <c r="W885" s="5"/>
      <c r="X885" s="5"/>
      <c r="Y885" s="5"/>
      <c r="Z885" s="5"/>
    </row>
    <row r="886" spans="1:26" ht="14.25" customHeight="1">
      <c r="A886" s="5"/>
      <c r="B886" s="22"/>
      <c r="C886" s="22"/>
      <c r="D886" s="5"/>
      <c r="E886" s="5"/>
      <c r="F886" s="22"/>
      <c r="G886" s="5"/>
      <c r="H886" s="5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5"/>
      <c r="V886" s="5"/>
      <c r="W886" s="5"/>
      <c r="X886" s="5"/>
      <c r="Y886" s="5"/>
      <c r="Z886" s="5"/>
    </row>
    <row r="887" spans="1:26" ht="14.25" customHeight="1">
      <c r="A887" s="5"/>
      <c r="B887" s="22"/>
      <c r="C887" s="22"/>
      <c r="D887" s="5"/>
      <c r="E887" s="5"/>
      <c r="F887" s="22"/>
      <c r="G887" s="5"/>
      <c r="H887" s="5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5"/>
      <c r="V887" s="5"/>
      <c r="W887" s="5"/>
      <c r="X887" s="5"/>
      <c r="Y887" s="5"/>
      <c r="Z887" s="5"/>
    </row>
    <row r="888" spans="1:26" ht="14.25" customHeight="1">
      <c r="A888" s="5"/>
      <c r="B888" s="22"/>
      <c r="C888" s="22"/>
      <c r="D888" s="5"/>
      <c r="E888" s="5"/>
      <c r="F888" s="22"/>
      <c r="G888" s="5"/>
      <c r="H888" s="5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5"/>
      <c r="V888" s="5"/>
      <c r="W888" s="5"/>
      <c r="X888" s="5"/>
      <c r="Y888" s="5"/>
      <c r="Z888" s="5"/>
    </row>
    <row r="889" spans="1:26" ht="14.25" customHeight="1">
      <c r="A889" s="5"/>
      <c r="B889" s="22"/>
      <c r="C889" s="22"/>
      <c r="D889" s="5"/>
      <c r="E889" s="5"/>
      <c r="F889" s="22"/>
      <c r="G889" s="5"/>
      <c r="H889" s="5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5"/>
      <c r="V889" s="5"/>
      <c r="W889" s="5"/>
      <c r="X889" s="5"/>
      <c r="Y889" s="5"/>
      <c r="Z889" s="5"/>
    </row>
    <row r="890" spans="1:26" ht="14.25" customHeight="1">
      <c r="A890" s="5"/>
      <c r="B890" s="22"/>
      <c r="C890" s="22"/>
      <c r="D890" s="5"/>
      <c r="E890" s="5"/>
      <c r="F890" s="22"/>
      <c r="G890" s="5"/>
      <c r="H890" s="5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5"/>
      <c r="V890" s="5"/>
      <c r="W890" s="5"/>
      <c r="X890" s="5"/>
      <c r="Y890" s="5"/>
      <c r="Z890" s="5"/>
    </row>
    <row r="891" spans="1:26" ht="14.25" customHeight="1">
      <c r="A891" s="5"/>
      <c r="B891" s="22"/>
      <c r="C891" s="22"/>
      <c r="D891" s="5"/>
      <c r="E891" s="5"/>
      <c r="F891" s="22"/>
      <c r="G891" s="5"/>
      <c r="H891" s="5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5"/>
      <c r="V891" s="5"/>
      <c r="W891" s="5"/>
      <c r="X891" s="5"/>
      <c r="Y891" s="5"/>
      <c r="Z891" s="5"/>
    </row>
    <row r="892" spans="1:26" ht="14.25" customHeight="1">
      <c r="A892" s="5"/>
      <c r="B892" s="22"/>
      <c r="C892" s="22"/>
      <c r="D892" s="5"/>
      <c r="E892" s="5"/>
      <c r="F892" s="22"/>
      <c r="G892" s="5"/>
      <c r="H892" s="5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5"/>
      <c r="V892" s="5"/>
      <c r="W892" s="5"/>
      <c r="X892" s="5"/>
      <c r="Y892" s="5"/>
      <c r="Z892" s="5"/>
    </row>
    <row r="893" spans="1:26" ht="14.25" customHeight="1">
      <c r="A893" s="5"/>
      <c r="B893" s="22"/>
      <c r="C893" s="22"/>
      <c r="D893" s="5"/>
      <c r="E893" s="5"/>
      <c r="F893" s="22"/>
      <c r="G893" s="5"/>
      <c r="H893" s="5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5"/>
      <c r="V893" s="5"/>
      <c r="W893" s="5"/>
      <c r="X893" s="5"/>
      <c r="Y893" s="5"/>
      <c r="Z893" s="5"/>
    </row>
    <row r="894" spans="1:26" ht="14.25" customHeight="1">
      <c r="A894" s="5"/>
      <c r="B894" s="22"/>
      <c r="C894" s="22"/>
      <c r="D894" s="5"/>
      <c r="E894" s="5"/>
      <c r="F894" s="22"/>
      <c r="G894" s="5"/>
      <c r="H894" s="5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5"/>
      <c r="V894" s="5"/>
      <c r="W894" s="5"/>
      <c r="X894" s="5"/>
      <c r="Y894" s="5"/>
      <c r="Z894" s="5"/>
    </row>
    <row r="895" spans="1:26" ht="14.25" customHeight="1">
      <c r="A895" s="5"/>
      <c r="B895" s="22"/>
      <c r="C895" s="22"/>
      <c r="D895" s="5"/>
      <c r="E895" s="5"/>
      <c r="F895" s="22"/>
      <c r="G895" s="5"/>
      <c r="H895" s="5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5"/>
      <c r="V895" s="5"/>
      <c r="W895" s="5"/>
      <c r="X895" s="5"/>
      <c r="Y895" s="5"/>
      <c r="Z895" s="5"/>
    </row>
    <row r="896" spans="1:26" ht="14.25" customHeight="1">
      <c r="A896" s="5"/>
      <c r="B896" s="22"/>
      <c r="C896" s="22"/>
      <c r="D896" s="5"/>
      <c r="E896" s="5"/>
      <c r="F896" s="22"/>
      <c r="G896" s="5"/>
      <c r="H896" s="5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5"/>
      <c r="V896" s="5"/>
      <c r="W896" s="5"/>
      <c r="X896" s="5"/>
      <c r="Y896" s="5"/>
      <c r="Z896" s="5"/>
    </row>
    <row r="897" spans="1:26" ht="14.25" customHeight="1">
      <c r="A897" s="5"/>
      <c r="B897" s="22"/>
      <c r="C897" s="22"/>
      <c r="D897" s="5"/>
      <c r="E897" s="5"/>
      <c r="F897" s="22"/>
      <c r="G897" s="5"/>
      <c r="H897" s="5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5"/>
      <c r="V897" s="5"/>
      <c r="W897" s="5"/>
      <c r="X897" s="5"/>
      <c r="Y897" s="5"/>
      <c r="Z897" s="5"/>
    </row>
    <row r="898" spans="1:26" ht="14.25" customHeight="1">
      <c r="A898" s="5"/>
      <c r="B898" s="22"/>
      <c r="C898" s="22"/>
      <c r="D898" s="5"/>
      <c r="E898" s="5"/>
      <c r="F898" s="22"/>
      <c r="G898" s="5"/>
      <c r="H898" s="5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5"/>
      <c r="V898" s="5"/>
      <c r="W898" s="5"/>
      <c r="X898" s="5"/>
      <c r="Y898" s="5"/>
      <c r="Z898" s="5"/>
    </row>
    <row r="899" spans="1:26" ht="14.25" customHeight="1">
      <c r="A899" s="5"/>
      <c r="B899" s="22"/>
      <c r="C899" s="22"/>
      <c r="D899" s="5"/>
      <c r="E899" s="5"/>
      <c r="F899" s="22"/>
      <c r="G899" s="5"/>
      <c r="H899" s="5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5"/>
      <c r="V899" s="5"/>
      <c r="W899" s="5"/>
      <c r="X899" s="5"/>
      <c r="Y899" s="5"/>
      <c r="Z899" s="5"/>
    </row>
    <row r="900" spans="1:26" ht="14.25" customHeight="1">
      <c r="A900" s="5"/>
      <c r="B900" s="22"/>
      <c r="C900" s="22"/>
      <c r="D900" s="5"/>
      <c r="E900" s="5"/>
      <c r="F900" s="22"/>
      <c r="G900" s="5"/>
      <c r="H900" s="5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5"/>
      <c r="V900" s="5"/>
      <c r="W900" s="5"/>
      <c r="X900" s="5"/>
      <c r="Y900" s="5"/>
      <c r="Z900" s="5"/>
    </row>
    <row r="901" spans="1:26" ht="14.25" customHeight="1">
      <c r="A901" s="5"/>
      <c r="B901" s="22"/>
      <c r="C901" s="22"/>
      <c r="D901" s="5"/>
      <c r="E901" s="5"/>
      <c r="F901" s="22"/>
      <c r="G901" s="5"/>
      <c r="H901" s="5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5"/>
      <c r="V901" s="5"/>
      <c r="W901" s="5"/>
      <c r="X901" s="5"/>
      <c r="Y901" s="5"/>
      <c r="Z901" s="5"/>
    </row>
    <row r="902" spans="1:26" ht="14.25" customHeight="1">
      <c r="A902" s="5"/>
      <c r="B902" s="22"/>
      <c r="C902" s="22"/>
      <c r="D902" s="5"/>
      <c r="E902" s="5"/>
      <c r="F902" s="22"/>
      <c r="G902" s="5"/>
      <c r="H902" s="5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5"/>
      <c r="V902" s="5"/>
      <c r="W902" s="5"/>
      <c r="X902" s="5"/>
      <c r="Y902" s="5"/>
      <c r="Z902" s="5"/>
    </row>
    <row r="903" spans="1:26" ht="14.25" customHeight="1">
      <c r="A903" s="5"/>
      <c r="B903" s="22"/>
      <c r="C903" s="22"/>
      <c r="D903" s="5"/>
      <c r="E903" s="5"/>
      <c r="F903" s="22"/>
      <c r="G903" s="5"/>
      <c r="H903" s="5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5"/>
      <c r="V903" s="5"/>
      <c r="W903" s="5"/>
      <c r="X903" s="5"/>
      <c r="Y903" s="5"/>
      <c r="Z903" s="5"/>
    </row>
    <row r="904" spans="1:26" ht="14.25" customHeight="1">
      <c r="A904" s="5"/>
      <c r="B904" s="22"/>
      <c r="C904" s="22"/>
      <c r="D904" s="5"/>
      <c r="E904" s="5"/>
      <c r="F904" s="22"/>
      <c r="G904" s="5"/>
      <c r="H904" s="5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5"/>
      <c r="V904" s="5"/>
      <c r="W904" s="5"/>
      <c r="X904" s="5"/>
      <c r="Y904" s="5"/>
      <c r="Z904" s="5"/>
    </row>
    <row r="905" spans="1:26" ht="14.25" customHeight="1">
      <c r="A905" s="5"/>
      <c r="B905" s="22"/>
      <c r="C905" s="22"/>
      <c r="D905" s="5"/>
      <c r="E905" s="5"/>
      <c r="F905" s="22"/>
      <c r="G905" s="5"/>
      <c r="H905" s="5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5"/>
      <c r="V905" s="5"/>
      <c r="W905" s="5"/>
      <c r="X905" s="5"/>
      <c r="Y905" s="5"/>
      <c r="Z905" s="5"/>
    </row>
    <row r="906" spans="1:26" ht="14.25" customHeight="1">
      <c r="A906" s="5"/>
      <c r="B906" s="22"/>
      <c r="C906" s="22"/>
      <c r="D906" s="5"/>
      <c r="E906" s="5"/>
      <c r="F906" s="22"/>
      <c r="G906" s="5"/>
      <c r="H906" s="5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5"/>
      <c r="V906" s="5"/>
      <c r="W906" s="5"/>
      <c r="X906" s="5"/>
      <c r="Y906" s="5"/>
      <c r="Z906" s="5"/>
    </row>
    <row r="907" spans="1:26" ht="14.25" customHeight="1">
      <c r="A907" s="5"/>
      <c r="B907" s="22"/>
      <c r="C907" s="22"/>
      <c r="D907" s="5"/>
      <c r="E907" s="5"/>
      <c r="F907" s="22"/>
      <c r="G907" s="5"/>
      <c r="H907" s="5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5"/>
      <c r="V907" s="5"/>
      <c r="W907" s="5"/>
      <c r="X907" s="5"/>
      <c r="Y907" s="5"/>
      <c r="Z907" s="5"/>
    </row>
    <row r="908" spans="1:26" ht="14.25" customHeight="1">
      <c r="A908" s="5"/>
      <c r="B908" s="22"/>
      <c r="C908" s="22"/>
      <c r="D908" s="5"/>
      <c r="E908" s="5"/>
      <c r="F908" s="22"/>
      <c r="G908" s="5"/>
      <c r="H908" s="5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5"/>
      <c r="V908" s="5"/>
      <c r="W908" s="5"/>
      <c r="X908" s="5"/>
      <c r="Y908" s="5"/>
      <c r="Z908" s="5"/>
    </row>
    <row r="909" spans="1:26" ht="14.25" customHeight="1">
      <c r="A909" s="5"/>
      <c r="B909" s="22"/>
      <c r="C909" s="22"/>
      <c r="D909" s="5"/>
      <c r="E909" s="5"/>
      <c r="F909" s="22"/>
      <c r="G909" s="5"/>
      <c r="H909" s="5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5"/>
      <c r="V909" s="5"/>
      <c r="W909" s="5"/>
      <c r="X909" s="5"/>
      <c r="Y909" s="5"/>
      <c r="Z909" s="5"/>
    </row>
    <row r="910" spans="1:26" ht="14.25" customHeight="1">
      <c r="A910" s="5"/>
      <c r="B910" s="22"/>
      <c r="C910" s="22"/>
      <c r="D910" s="5"/>
      <c r="E910" s="5"/>
      <c r="F910" s="22"/>
      <c r="G910" s="5"/>
      <c r="H910" s="5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5"/>
      <c r="V910" s="5"/>
      <c r="W910" s="5"/>
      <c r="X910" s="5"/>
      <c r="Y910" s="5"/>
      <c r="Z910" s="5"/>
    </row>
    <row r="911" spans="1:26" ht="14.25" customHeight="1">
      <c r="A911" s="5"/>
      <c r="B911" s="22"/>
      <c r="C911" s="22"/>
      <c r="D911" s="5"/>
      <c r="E911" s="5"/>
      <c r="F911" s="22"/>
      <c r="G911" s="5"/>
      <c r="H911" s="5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5"/>
      <c r="V911" s="5"/>
      <c r="W911" s="5"/>
      <c r="X911" s="5"/>
      <c r="Y911" s="5"/>
      <c r="Z911" s="5"/>
    </row>
    <row r="912" spans="1:26" ht="14.25" customHeight="1">
      <c r="A912" s="5"/>
      <c r="B912" s="22"/>
      <c r="C912" s="22"/>
      <c r="D912" s="5"/>
      <c r="E912" s="5"/>
      <c r="F912" s="22"/>
      <c r="G912" s="5"/>
      <c r="H912" s="5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5"/>
      <c r="V912" s="5"/>
      <c r="W912" s="5"/>
      <c r="X912" s="5"/>
      <c r="Y912" s="5"/>
      <c r="Z912" s="5"/>
    </row>
    <row r="913" spans="1:26" ht="14.25" customHeight="1">
      <c r="A913" s="5"/>
      <c r="B913" s="22"/>
      <c r="C913" s="22"/>
      <c r="D913" s="5"/>
      <c r="E913" s="5"/>
      <c r="F913" s="22"/>
      <c r="G913" s="5"/>
      <c r="H913" s="5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5"/>
      <c r="V913" s="5"/>
      <c r="W913" s="5"/>
      <c r="X913" s="5"/>
      <c r="Y913" s="5"/>
      <c r="Z913" s="5"/>
    </row>
    <row r="914" spans="1:26" ht="14.25" customHeight="1">
      <c r="A914" s="5"/>
      <c r="B914" s="22"/>
      <c r="C914" s="22"/>
      <c r="D914" s="5"/>
      <c r="E914" s="5"/>
      <c r="F914" s="22"/>
      <c r="G914" s="5"/>
      <c r="H914" s="5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5"/>
      <c r="V914" s="5"/>
      <c r="W914" s="5"/>
      <c r="X914" s="5"/>
      <c r="Y914" s="5"/>
      <c r="Z914" s="5"/>
    </row>
    <row r="915" spans="1:26" ht="14.25" customHeight="1">
      <c r="A915" s="5"/>
      <c r="B915" s="22"/>
      <c r="C915" s="22"/>
      <c r="D915" s="5"/>
      <c r="E915" s="5"/>
      <c r="F915" s="22"/>
      <c r="G915" s="5"/>
      <c r="H915" s="5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5"/>
      <c r="V915" s="5"/>
      <c r="W915" s="5"/>
      <c r="X915" s="5"/>
      <c r="Y915" s="5"/>
      <c r="Z915" s="5"/>
    </row>
    <row r="916" spans="1:26" ht="14.25" customHeight="1">
      <c r="A916" s="5"/>
      <c r="B916" s="22"/>
      <c r="C916" s="22"/>
      <c r="D916" s="5"/>
      <c r="E916" s="5"/>
      <c r="F916" s="22"/>
      <c r="G916" s="5"/>
      <c r="H916" s="5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5"/>
      <c r="V916" s="5"/>
      <c r="W916" s="5"/>
      <c r="X916" s="5"/>
      <c r="Y916" s="5"/>
      <c r="Z916" s="5"/>
    </row>
    <row r="917" spans="1:26" ht="14.25" customHeight="1">
      <c r="A917" s="5"/>
      <c r="B917" s="22"/>
      <c r="C917" s="22"/>
      <c r="D917" s="5"/>
      <c r="E917" s="5"/>
      <c r="F917" s="22"/>
      <c r="G917" s="5"/>
      <c r="H917" s="5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5"/>
      <c r="V917" s="5"/>
      <c r="W917" s="5"/>
      <c r="X917" s="5"/>
      <c r="Y917" s="5"/>
      <c r="Z917" s="5"/>
    </row>
    <row r="918" spans="1:26" ht="14.25" customHeight="1">
      <c r="A918" s="5"/>
      <c r="B918" s="22"/>
      <c r="C918" s="22"/>
      <c r="D918" s="5"/>
      <c r="E918" s="5"/>
      <c r="F918" s="22"/>
      <c r="G918" s="5"/>
      <c r="H918" s="5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5"/>
      <c r="V918" s="5"/>
      <c r="W918" s="5"/>
      <c r="X918" s="5"/>
      <c r="Y918" s="5"/>
      <c r="Z918" s="5"/>
    </row>
    <row r="919" spans="1:26" ht="14.25" customHeight="1">
      <c r="A919" s="5"/>
      <c r="B919" s="22"/>
      <c r="C919" s="22"/>
      <c r="D919" s="5"/>
      <c r="E919" s="5"/>
      <c r="F919" s="22"/>
      <c r="G919" s="5"/>
      <c r="H919" s="5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5"/>
      <c r="V919" s="5"/>
      <c r="W919" s="5"/>
      <c r="X919" s="5"/>
      <c r="Y919" s="5"/>
      <c r="Z919" s="5"/>
    </row>
    <row r="920" spans="1:26" ht="14.25" customHeight="1">
      <c r="A920" s="5"/>
      <c r="B920" s="22"/>
      <c r="C920" s="22"/>
      <c r="D920" s="5"/>
      <c r="E920" s="5"/>
      <c r="F920" s="22"/>
      <c r="G920" s="5"/>
      <c r="H920" s="5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5"/>
      <c r="V920" s="5"/>
      <c r="W920" s="5"/>
      <c r="X920" s="5"/>
      <c r="Y920" s="5"/>
      <c r="Z920" s="5"/>
    </row>
    <row r="921" spans="1:26" ht="14.25" customHeight="1">
      <c r="A921" s="5"/>
      <c r="B921" s="22"/>
      <c r="C921" s="22"/>
      <c r="D921" s="5"/>
      <c r="E921" s="5"/>
      <c r="F921" s="22"/>
      <c r="G921" s="5"/>
      <c r="H921" s="5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5"/>
      <c r="V921" s="5"/>
      <c r="W921" s="5"/>
      <c r="X921" s="5"/>
      <c r="Y921" s="5"/>
      <c r="Z921" s="5"/>
    </row>
    <row r="922" spans="1:26" ht="14.25" customHeight="1">
      <c r="A922" s="5"/>
      <c r="B922" s="22"/>
      <c r="C922" s="22"/>
      <c r="D922" s="5"/>
      <c r="E922" s="5"/>
      <c r="F922" s="22"/>
      <c r="G922" s="5"/>
      <c r="H922" s="5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5"/>
      <c r="V922" s="5"/>
      <c r="W922" s="5"/>
      <c r="X922" s="5"/>
      <c r="Y922" s="5"/>
      <c r="Z922" s="5"/>
    </row>
    <row r="923" spans="1:26" ht="14.25" customHeight="1">
      <c r="A923" s="5"/>
      <c r="B923" s="22"/>
      <c r="C923" s="22"/>
      <c r="D923" s="5"/>
      <c r="E923" s="5"/>
      <c r="F923" s="22"/>
      <c r="G923" s="5"/>
      <c r="H923" s="5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5"/>
      <c r="V923" s="5"/>
      <c r="W923" s="5"/>
      <c r="X923" s="5"/>
      <c r="Y923" s="5"/>
      <c r="Z923" s="5"/>
    </row>
    <row r="924" spans="1:26" ht="14.25" customHeight="1">
      <c r="A924" s="5"/>
      <c r="B924" s="22"/>
      <c r="C924" s="22"/>
      <c r="D924" s="5"/>
      <c r="E924" s="5"/>
      <c r="F924" s="22"/>
      <c r="G924" s="5"/>
      <c r="H924" s="5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5"/>
      <c r="V924" s="5"/>
      <c r="W924" s="5"/>
      <c r="X924" s="5"/>
      <c r="Y924" s="5"/>
      <c r="Z924" s="5"/>
    </row>
    <row r="925" spans="1:26" ht="14.25" customHeight="1">
      <c r="A925" s="5"/>
      <c r="B925" s="22"/>
      <c r="C925" s="22"/>
      <c r="D925" s="5"/>
      <c r="E925" s="5"/>
      <c r="F925" s="22"/>
      <c r="G925" s="5"/>
      <c r="H925" s="5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5"/>
      <c r="V925" s="5"/>
      <c r="W925" s="5"/>
      <c r="X925" s="5"/>
      <c r="Y925" s="5"/>
      <c r="Z925" s="5"/>
    </row>
    <row r="926" spans="1:26" ht="14.25" customHeight="1">
      <c r="A926" s="5"/>
      <c r="B926" s="22"/>
      <c r="C926" s="22"/>
      <c r="D926" s="5"/>
      <c r="E926" s="5"/>
      <c r="F926" s="22"/>
      <c r="G926" s="5"/>
      <c r="H926" s="5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5"/>
      <c r="V926" s="5"/>
      <c r="W926" s="5"/>
      <c r="X926" s="5"/>
      <c r="Y926" s="5"/>
      <c r="Z926" s="5"/>
    </row>
    <row r="927" spans="1:26" ht="14.25" customHeight="1">
      <c r="A927" s="5"/>
      <c r="B927" s="22"/>
      <c r="C927" s="22"/>
      <c r="D927" s="5"/>
      <c r="E927" s="5"/>
      <c r="F927" s="22"/>
      <c r="G927" s="5"/>
      <c r="H927" s="5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5"/>
      <c r="V927" s="5"/>
      <c r="W927" s="5"/>
      <c r="X927" s="5"/>
      <c r="Y927" s="5"/>
      <c r="Z927" s="5"/>
    </row>
    <row r="928" spans="1:26" ht="14.25" customHeight="1">
      <c r="A928" s="5"/>
      <c r="B928" s="22"/>
      <c r="C928" s="22"/>
      <c r="D928" s="5"/>
      <c r="E928" s="5"/>
      <c r="F928" s="22"/>
      <c r="G928" s="5"/>
      <c r="H928" s="5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5"/>
      <c r="V928" s="5"/>
      <c r="W928" s="5"/>
      <c r="X928" s="5"/>
      <c r="Y928" s="5"/>
      <c r="Z928" s="5"/>
    </row>
    <row r="929" spans="1:26" ht="14.25" customHeight="1">
      <c r="A929" s="5"/>
      <c r="B929" s="22"/>
      <c r="C929" s="22"/>
      <c r="D929" s="5"/>
      <c r="E929" s="5"/>
      <c r="F929" s="22"/>
      <c r="G929" s="5"/>
      <c r="H929" s="5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5"/>
      <c r="V929" s="5"/>
      <c r="W929" s="5"/>
      <c r="X929" s="5"/>
      <c r="Y929" s="5"/>
      <c r="Z929" s="5"/>
    </row>
    <row r="930" spans="1:26" ht="14.25" customHeight="1">
      <c r="A930" s="5"/>
      <c r="B930" s="22"/>
      <c r="C930" s="22"/>
      <c r="D930" s="5"/>
      <c r="E930" s="5"/>
      <c r="F930" s="22"/>
      <c r="G930" s="5"/>
      <c r="H930" s="5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5"/>
      <c r="V930" s="5"/>
      <c r="W930" s="5"/>
      <c r="X930" s="5"/>
      <c r="Y930" s="5"/>
      <c r="Z930" s="5"/>
    </row>
    <row r="931" spans="1:26" ht="14.25" customHeight="1">
      <c r="A931" s="5"/>
      <c r="B931" s="22"/>
      <c r="C931" s="22"/>
      <c r="D931" s="5"/>
      <c r="E931" s="5"/>
      <c r="F931" s="22"/>
      <c r="G931" s="5"/>
      <c r="H931" s="5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5"/>
      <c r="V931" s="5"/>
      <c r="W931" s="5"/>
      <c r="X931" s="5"/>
      <c r="Y931" s="5"/>
      <c r="Z931" s="5"/>
    </row>
    <row r="932" spans="1:26" ht="14.25" customHeight="1">
      <c r="A932" s="5"/>
      <c r="B932" s="22"/>
      <c r="C932" s="22"/>
      <c r="D932" s="5"/>
      <c r="E932" s="5"/>
      <c r="F932" s="22"/>
      <c r="G932" s="5"/>
      <c r="H932" s="5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5"/>
      <c r="V932" s="5"/>
      <c r="W932" s="5"/>
      <c r="X932" s="5"/>
      <c r="Y932" s="5"/>
      <c r="Z932" s="5"/>
    </row>
    <row r="933" spans="1:26" ht="14.25" customHeight="1">
      <c r="A933" s="5"/>
      <c r="B933" s="22"/>
      <c r="C933" s="22"/>
      <c r="D933" s="5"/>
      <c r="E933" s="5"/>
      <c r="F933" s="22"/>
      <c r="G933" s="5"/>
      <c r="H933" s="5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5"/>
      <c r="V933" s="5"/>
      <c r="W933" s="5"/>
      <c r="X933" s="5"/>
      <c r="Y933" s="5"/>
      <c r="Z933" s="5"/>
    </row>
    <row r="934" spans="1:26" ht="14.25" customHeight="1">
      <c r="A934" s="5"/>
      <c r="B934" s="22"/>
      <c r="C934" s="22"/>
      <c r="D934" s="5"/>
      <c r="E934" s="5"/>
      <c r="F934" s="22"/>
      <c r="G934" s="5"/>
      <c r="H934" s="5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5"/>
      <c r="V934" s="5"/>
      <c r="W934" s="5"/>
      <c r="X934" s="5"/>
      <c r="Y934" s="5"/>
      <c r="Z934" s="5"/>
    </row>
    <row r="935" spans="1:26" ht="14.25" customHeight="1">
      <c r="A935" s="5"/>
      <c r="B935" s="22"/>
      <c r="C935" s="22"/>
      <c r="D935" s="5"/>
      <c r="E935" s="5"/>
      <c r="F935" s="22"/>
      <c r="G935" s="5"/>
      <c r="H935" s="5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5"/>
      <c r="V935" s="5"/>
      <c r="W935" s="5"/>
      <c r="X935" s="5"/>
      <c r="Y935" s="5"/>
      <c r="Z935" s="5"/>
    </row>
    <row r="936" spans="1:26" ht="14.25" customHeight="1">
      <c r="A936" s="5"/>
      <c r="B936" s="22"/>
      <c r="C936" s="22"/>
      <c r="D936" s="5"/>
      <c r="E936" s="5"/>
      <c r="F936" s="22"/>
      <c r="G936" s="5"/>
      <c r="H936" s="5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5"/>
      <c r="V936" s="5"/>
      <c r="W936" s="5"/>
      <c r="X936" s="5"/>
      <c r="Y936" s="5"/>
      <c r="Z936" s="5"/>
    </row>
    <row r="937" spans="1:26" ht="14.25" customHeight="1">
      <c r="A937" s="5"/>
      <c r="B937" s="22"/>
      <c r="C937" s="22"/>
      <c r="D937" s="5"/>
      <c r="E937" s="5"/>
      <c r="F937" s="22"/>
      <c r="G937" s="5"/>
      <c r="H937" s="5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5"/>
      <c r="V937" s="5"/>
      <c r="W937" s="5"/>
      <c r="X937" s="5"/>
      <c r="Y937" s="5"/>
      <c r="Z937" s="5"/>
    </row>
    <row r="938" spans="1:26" ht="14.25" customHeight="1">
      <c r="A938" s="5"/>
      <c r="B938" s="22"/>
      <c r="C938" s="22"/>
      <c r="D938" s="5"/>
      <c r="E938" s="5"/>
      <c r="F938" s="22"/>
      <c r="G938" s="5"/>
      <c r="H938" s="5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5"/>
      <c r="V938" s="5"/>
      <c r="W938" s="5"/>
      <c r="X938" s="5"/>
      <c r="Y938" s="5"/>
      <c r="Z938" s="5"/>
    </row>
    <row r="939" spans="1:26" ht="14.25" customHeight="1">
      <c r="A939" s="5"/>
      <c r="B939" s="22"/>
      <c r="C939" s="22"/>
      <c r="D939" s="5"/>
      <c r="E939" s="5"/>
      <c r="F939" s="22"/>
      <c r="G939" s="5"/>
      <c r="H939" s="5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5"/>
      <c r="V939" s="5"/>
      <c r="W939" s="5"/>
      <c r="X939" s="5"/>
      <c r="Y939" s="5"/>
      <c r="Z939" s="5"/>
    </row>
    <row r="940" spans="1:26" ht="14.25" customHeight="1">
      <c r="A940" s="5"/>
      <c r="B940" s="22"/>
      <c r="C940" s="22"/>
      <c r="D940" s="5"/>
      <c r="E940" s="5"/>
      <c r="F940" s="22"/>
      <c r="G940" s="5"/>
      <c r="H940" s="5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5"/>
      <c r="V940" s="5"/>
      <c r="W940" s="5"/>
      <c r="X940" s="5"/>
      <c r="Y940" s="5"/>
      <c r="Z940" s="5"/>
    </row>
    <row r="941" spans="1:26" ht="14.25" customHeight="1">
      <c r="A941" s="5"/>
      <c r="B941" s="22"/>
      <c r="C941" s="22"/>
      <c r="D941" s="5"/>
      <c r="E941" s="5"/>
      <c r="F941" s="22"/>
      <c r="G941" s="5"/>
      <c r="H941" s="5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5"/>
      <c r="V941" s="5"/>
      <c r="W941" s="5"/>
      <c r="X941" s="5"/>
      <c r="Y941" s="5"/>
      <c r="Z941" s="5"/>
    </row>
    <row r="942" spans="1:26" ht="14.25" customHeight="1">
      <c r="A942" s="5"/>
      <c r="B942" s="22"/>
      <c r="C942" s="22"/>
      <c r="D942" s="5"/>
      <c r="E942" s="5"/>
      <c r="F942" s="22"/>
      <c r="G942" s="5"/>
      <c r="H942" s="5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5"/>
      <c r="V942" s="5"/>
      <c r="W942" s="5"/>
      <c r="X942" s="5"/>
      <c r="Y942" s="5"/>
      <c r="Z942" s="5"/>
    </row>
    <row r="943" spans="1:26" ht="14.25" customHeight="1">
      <c r="A943" s="5"/>
      <c r="B943" s="22"/>
      <c r="C943" s="22"/>
      <c r="D943" s="5"/>
      <c r="E943" s="5"/>
      <c r="F943" s="22"/>
      <c r="G943" s="5"/>
      <c r="H943" s="5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5"/>
      <c r="V943" s="5"/>
      <c r="W943" s="5"/>
      <c r="X943" s="5"/>
      <c r="Y943" s="5"/>
      <c r="Z943" s="5"/>
    </row>
    <row r="944" spans="1:26" ht="14.25" customHeight="1">
      <c r="A944" s="5"/>
      <c r="B944" s="22"/>
      <c r="C944" s="22"/>
      <c r="D944" s="5"/>
      <c r="E944" s="5"/>
      <c r="F944" s="22"/>
      <c r="G944" s="5"/>
      <c r="H944" s="5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5"/>
      <c r="V944" s="5"/>
      <c r="W944" s="5"/>
      <c r="X944" s="5"/>
      <c r="Y944" s="5"/>
      <c r="Z944" s="5"/>
    </row>
    <row r="945" spans="1:26" ht="14.25" customHeight="1">
      <c r="A945" s="5"/>
      <c r="B945" s="22"/>
      <c r="C945" s="22"/>
      <c r="D945" s="5"/>
      <c r="E945" s="5"/>
      <c r="F945" s="22"/>
      <c r="G945" s="5"/>
      <c r="H945" s="5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5"/>
      <c r="V945" s="5"/>
      <c r="W945" s="5"/>
      <c r="X945" s="5"/>
      <c r="Y945" s="5"/>
      <c r="Z945" s="5"/>
    </row>
    <row r="946" spans="1:26" ht="14.25" customHeight="1">
      <c r="A946" s="5"/>
      <c r="B946" s="22"/>
      <c r="C946" s="22"/>
      <c r="D946" s="5"/>
      <c r="E946" s="5"/>
      <c r="F946" s="22"/>
      <c r="G946" s="5"/>
      <c r="H946" s="5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5"/>
      <c r="V946" s="5"/>
      <c r="W946" s="5"/>
      <c r="X946" s="5"/>
      <c r="Y946" s="5"/>
      <c r="Z946" s="5"/>
    </row>
    <row r="947" spans="1:26" ht="14.25" customHeight="1">
      <c r="A947" s="5"/>
      <c r="B947" s="22"/>
      <c r="C947" s="22"/>
      <c r="D947" s="5"/>
      <c r="E947" s="5"/>
      <c r="F947" s="22"/>
      <c r="G947" s="5"/>
      <c r="H947" s="5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5"/>
      <c r="V947" s="5"/>
      <c r="W947" s="5"/>
      <c r="X947" s="5"/>
      <c r="Y947" s="5"/>
      <c r="Z947" s="5"/>
    </row>
    <row r="948" spans="1:26" ht="14.25" customHeight="1">
      <c r="A948" s="5"/>
      <c r="B948" s="22"/>
      <c r="C948" s="22"/>
      <c r="D948" s="5"/>
      <c r="E948" s="5"/>
      <c r="F948" s="22"/>
      <c r="G948" s="5"/>
      <c r="H948" s="5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5"/>
      <c r="V948" s="5"/>
      <c r="W948" s="5"/>
      <c r="X948" s="5"/>
      <c r="Y948" s="5"/>
      <c r="Z948" s="5"/>
    </row>
    <row r="949" spans="1:26" ht="14.25" customHeight="1">
      <c r="A949" s="5"/>
      <c r="B949" s="22"/>
      <c r="C949" s="22"/>
      <c r="D949" s="5"/>
      <c r="E949" s="5"/>
      <c r="F949" s="22"/>
      <c r="G949" s="5"/>
      <c r="H949" s="5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5"/>
      <c r="V949" s="5"/>
      <c r="W949" s="5"/>
      <c r="X949" s="5"/>
      <c r="Y949" s="5"/>
      <c r="Z949" s="5"/>
    </row>
    <row r="950" spans="1:26" ht="14.25" customHeight="1">
      <c r="A950" s="5"/>
      <c r="B950" s="22"/>
      <c r="C950" s="22"/>
      <c r="D950" s="5"/>
      <c r="E950" s="5"/>
      <c r="F950" s="22"/>
      <c r="G950" s="5"/>
      <c r="H950" s="5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5"/>
      <c r="V950" s="5"/>
      <c r="W950" s="5"/>
      <c r="X950" s="5"/>
      <c r="Y950" s="5"/>
      <c r="Z950" s="5"/>
    </row>
    <row r="951" spans="1:26" ht="14.25" customHeight="1">
      <c r="A951" s="5"/>
      <c r="B951" s="22"/>
      <c r="C951" s="22"/>
      <c r="D951" s="5"/>
      <c r="E951" s="5"/>
      <c r="F951" s="22"/>
      <c r="G951" s="5"/>
      <c r="H951" s="5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5"/>
      <c r="V951" s="5"/>
      <c r="W951" s="5"/>
      <c r="X951" s="5"/>
      <c r="Y951" s="5"/>
      <c r="Z951" s="5"/>
    </row>
    <row r="952" spans="1:26" ht="14.25" customHeight="1">
      <c r="A952" s="5"/>
      <c r="B952" s="22"/>
      <c r="C952" s="22"/>
      <c r="D952" s="5"/>
      <c r="E952" s="5"/>
      <c r="F952" s="22"/>
      <c r="G952" s="5"/>
      <c r="H952" s="5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5"/>
      <c r="V952" s="5"/>
      <c r="W952" s="5"/>
      <c r="X952" s="5"/>
      <c r="Y952" s="5"/>
      <c r="Z952" s="5"/>
    </row>
    <row r="953" spans="1:26" ht="14.25" customHeight="1">
      <c r="A953" s="5"/>
      <c r="B953" s="22"/>
      <c r="C953" s="22"/>
      <c r="D953" s="5"/>
      <c r="E953" s="5"/>
      <c r="F953" s="22"/>
      <c r="G953" s="5"/>
      <c r="H953" s="5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5"/>
      <c r="V953" s="5"/>
      <c r="W953" s="5"/>
      <c r="X953" s="5"/>
      <c r="Y953" s="5"/>
      <c r="Z953" s="5"/>
    </row>
    <row r="954" spans="1:26" ht="14.25" customHeight="1">
      <c r="A954" s="5"/>
      <c r="B954" s="22"/>
      <c r="C954" s="22"/>
      <c r="D954" s="5"/>
      <c r="E954" s="5"/>
      <c r="F954" s="22"/>
      <c r="G954" s="5"/>
      <c r="H954" s="5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5"/>
      <c r="V954" s="5"/>
      <c r="W954" s="5"/>
      <c r="X954" s="5"/>
      <c r="Y954" s="5"/>
      <c r="Z954" s="5"/>
    </row>
    <row r="955" spans="1:26" ht="14.25" customHeight="1">
      <c r="A955" s="5"/>
      <c r="B955" s="22"/>
      <c r="C955" s="22"/>
      <c r="D955" s="5"/>
      <c r="E955" s="5"/>
      <c r="F955" s="22"/>
      <c r="G955" s="5"/>
      <c r="H955" s="5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5"/>
      <c r="V955" s="5"/>
      <c r="W955" s="5"/>
      <c r="X955" s="5"/>
      <c r="Y955" s="5"/>
      <c r="Z955" s="5"/>
    </row>
    <row r="956" spans="1:26" ht="14.25" customHeight="1">
      <c r="A956" s="5"/>
      <c r="B956" s="22"/>
      <c r="C956" s="22"/>
      <c r="D956" s="5"/>
      <c r="E956" s="5"/>
      <c r="F956" s="22"/>
      <c r="G956" s="5"/>
      <c r="H956" s="5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5"/>
      <c r="V956" s="5"/>
      <c r="W956" s="5"/>
      <c r="X956" s="5"/>
      <c r="Y956" s="5"/>
      <c r="Z956" s="5"/>
    </row>
    <row r="957" spans="1:26" ht="14.25" customHeight="1">
      <c r="A957" s="5"/>
      <c r="B957" s="22"/>
      <c r="C957" s="22"/>
      <c r="D957" s="5"/>
      <c r="E957" s="5"/>
      <c r="F957" s="22"/>
      <c r="G957" s="5"/>
      <c r="H957" s="5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5"/>
      <c r="V957" s="5"/>
      <c r="W957" s="5"/>
      <c r="X957" s="5"/>
      <c r="Y957" s="5"/>
      <c r="Z957" s="5"/>
    </row>
    <row r="958" spans="1:26" ht="14.25" customHeight="1">
      <c r="A958" s="5"/>
      <c r="B958" s="22"/>
      <c r="C958" s="22"/>
      <c r="D958" s="5"/>
      <c r="E958" s="5"/>
      <c r="F958" s="22"/>
      <c r="G958" s="5"/>
      <c r="H958" s="5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5"/>
      <c r="V958" s="5"/>
      <c r="W958" s="5"/>
      <c r="X958" s="5"/>
      <c r="Y958" s="5"/>
      <c r="Z958" s="5"/>
    </row>
    <row r="959" spans="1:26" ht="14.25" customHeight="1">
      <c r="A959" s="5"/>
      <c r="B959" s="22"/>
      <c r="C959" s="22"/>
      <c r="D959" s="5"/>
      <c r="E959" s="5"/>
      <c r="F959" s="22"/>
      <c r="G959" s="5"/>
      <c r="H959" s="5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5"/>
      <c r="V959" s="5"/>
      <c r="W959" s="5"/>
      <c r="X959" s="5"/>
      <c r="Y959" s="5"/>
      <c r="Z959" s="5"/>
    </row>
    <row r="960" spans="1:26" ht="14.25" customHeight="1">
      <c r="A960" s="5"/>
      <c r="B960" s="22"/>
      <c r="C960" s="22"/>
      <c r="D960" s="5"/>
      <c r="E960" s="5"/>
      <c r="F960" s="22"/>
      <c r="G960" s="5"/>
      <c r="H960" s="5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5"/>
      <c r="V960" s="5"/>
      <c r="W960" s="5"/>
      <c r="X960" s="5"/>
      <c r="Y960" s="5"/>
      <c r="Z960" s="5"/>
    </row>
    <row r="961" spans="1:26" ht="14.25" customHeight="1">
      <c r="A961" s="5"/>
      <c r="B961" s="22"/>
      <c r="C961" s="22"/>
      <c r="D961" s="5"/>
      <c r="E961" s="5"/>
      <c r="F961" s="22"/>
      <c r="G961" s="5"/>
      <c r="H961" s="5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5"/>
      <c r="V961" s="5"/>
      <c r="W961" s="5"/>
      <c r="X961" s="5"/>
      <c r="Y961" s="5"/>
      <c r="Z961" s="5"/>
    </row>
    <row r="962" spans="1:26" ht="14.25" customHeight="1">
      <c r="A962" s="5"/>
      <c r="B962" s="22"/>
      <c r="C962" s="22"/>
      <c r="D962" s="5"/>
      <c r="E962" s="5"/>
      <c r="F962" s="22"/>
      <c r="G962" s="5"/>
      <c r="H962" s="5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5"/>
      <c r="V962" s="5"/>
      <c r="W962" s="5"/>
      <c r="X962" s="5"/>
      <c r="Y962" s="5"/>
      <c r="Z962" s="5"/>
    </row>
    <row r="963" spans="1:26" ht="14.25" customHeight="1">
      <c r="A963" s="5"/>
      <c r="B963" s="22"/>
      <c r="C963" s="22"/>
      <c r="D963" s="5"/>
      <c r="E963" s="5"/>
      <c r="F963" s="22"/>
      <c r="G963" s="5"/>
      <c r="H963" s="5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5"/>
      <c r="V963" s="5"/>
      <c r="W963" s="5"/>
      <c r="X963" s="5"/>
      <c r="Y963" s="5"/>
      <c r="Z963" s="5"/>
    </row>
    <row r="964" spans="1:26" ht="14.25" customHeight="1">
      <c r="A964" s="5"/>
      <c r="B964" s="22"/>
      <c r="C964" s="22"/>
      <c r="D964" s="5"/>
      <c r="E964" s="5"/>
      <c r="F964" s="22"/>
      <c r="G964" s="5"/>
      <c r="H964" s="5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5"/>
      <c r="V964" s="5"/>
      <c r="W964" s="5"/>
      <c r="X964" s="5"/>
      <c r="Y964" s="5"/>
      <c r="Z964" s="5"/>
    </row>
    <row r="965" spans="1:26" ht="14.25" customHeight="1">
      <c r="A965" s="5"/>
      <c r="B965" s="22"/>
      <c r="C965" s="22"/>
      <c r="D965" s="5"/>
      <c r="E965" s="5"/>
      <c r="F965" s="22"/>
      <c r="G965" s="5"/>
      <c r="H965" s="5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5"/>
      <c r="V965" s="5"/>
      <c r="W965" s="5"/>
      <c r="X965" s="5"/>
      <c r="Y965" s="5"/>
      <c r="Z965" s="5"/>
    </row>
    <row r="966" spans="1:26" ht="14.25" customHeight="1">
      <c r="A966" s="5"/>
      <c r="B966" s="22"/>
      <c r="C966" s="22"/>
      <c r="D966" s="5"/>
      <c r="E966" s="5"/>
      <c r="F966" s="22"/>
      <c r="G966" s="5"/>
      <c r="H966" s="5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5"/>
      <c r="V966" s="5"/>
      <c r="W966" s="5"/>
      <c r="X966" s="5"/>
      <c r="Y966" s="5"/>
      <c r="Z966" s="5"/>
    </row>
    <row r="967" spans="1:26" ht="14.25" customHeight="1">
      <c r="A967" s="5"/>
      <c r="B967" s="22"/>
      <c r="C967" s="22"/>
      <c r="D967" s="5"/>
      <c r="E967" s="5"/>
      <c r="F967" s="22"/>
      <c r="G967" s="5"/>
      <c r="H967" s="5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5"/>
      <c r="V967" s="5"/>
      <c r="W967" s="5"/>
      <c r="X967" s="5"/>
      <c r="Y967" s="5"/>
      <c r="Z967" s="5"/>
    </row>
    <row r="968" spans="1:26" ht="14.25" customHeight="1">
      <c r="A968" s="5"/>
      <c r="B968" s="22"/>
      <c r="C968" s="22"/>
      <c r="D968" s="5"/>
      <c r="E968" s="5"/>
      <c r="F968" s="22"/>
      <c r="G968" s="5"/>
      <c r="H968" s="5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5"/>
      <c r="V968" s="5"/>
      <c r="W968" s="5"/>
      <c r="X968" s="5"/>
      <c r="Y968" s="5"/>
      <c r="Z968" s="5"/>
    </row>
    <row r="969" spans="1:26" ht="14.25" customHeight="1">
      <c r="A969" s="5"/>
      <c r="B969" s="22"/>
      <c r="C969" s="22"/>
      <c r="D969" s="5"/>
      <c r="E969" s="5"/>
      <c r="F969" s="22"/>
      <c r="G969" s="5"/>
      <c r="H969" s="5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5"/>
      <c r="V969" s="5"/>
      <c r="W969" s="5"/>
      <c r="X969" s="5"/>
      <c r="Y969" s="5"/>
      <c r="Z969" s="5"/>
    </row>
    <row r="970" spans="1:26" ht="14.25" customHeight="1">
      <c r="A970" s="5"/>
      <c r="B970" s="22"/>
      <c r="C970" s="22"/>
      <c r="D970" s="5"/>
      <c r="E970" s="5"/>
      <c r="F970" s="22"/>
      <c r="G970" s="5"/>
      <c r="H970" s="5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5"/>
      <c r="V970" s="5"/>
      <c r="W970" s="5"/>
      <c r="X970" s="5"/>
      <c r="Y970" s="5"/>
      <c r="Z970" s="5"/>
    </row>
    <row r="971" spans="1:26" ht="14.25" customHeight="1">
      <c r="A971" s="5"/>
      <c r="B971" s="22"/>
      <c r="C971" s="22"/>
      <c r="D971" s="5"/>
      <c r="E971" s="5"/>
      <c r="F971" s="22"/>
      <c r="G971" s="5"/>
      <c r="H971" s="5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5"/>
      <c r="V971" s="5"/>
      <c r="W971" s="5"/>
      <c r="X971" s="5"/>
      <c r="Y971" s="5"/>
      <c r="Z971" s="5"/>
    </row>
    <row r="972" spans="1:26" ht="14.25" customHeight="1">
      <c r="A972" s="5"/>
      <c r="B972" s="22"/>
      <c r="C972" s="22"/>
      <c r="D972" s="5"/>
      <c r="E972" s="5"/>
      <c r="F972" s="22"/>
      <c r="G972" s="5"/>
      <c r="H972" s="5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5"/>
      <c r="V972" s="5"/>
      <c r="W972" s="5"/>
      <c r="X972" s="5"/>
      <c r="Y972" s="5"/>
      <c r="Z972" s="5"/>
    </row>
    <row r="973" spans="1:26" ht="14.25" customHeight="1">
      <c r="A973" s="5"/>
      <c r="B973" s="22"/>
      <c r="C973" s="22"/>
      <c r="D973" s="5"/>
      <c r="E973" s="5"/>
      <c r="F973" s="22"/>
      <c r="G973" s="5"/>
      <c r="H973" s="5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5"/>
      <c r="V973" s="5"/>
      <c r="W973" s="5"/>
      <c r="X973" s="5"/>
      <c r="Y973" s="5"/>
      <c r="Z973" s="5"/>
    </row>
    <row r="974" spans="1:26" ht="14.25" customHeight="1">
      <c r="A974" s="5"/>
      <c r="B974" s="22"/>
      <c r="C974" s="22"/>
      <c r="D974" s="5"/>
      <c r="E974" s="5"/>
      <c r="F974" s="22"/>
      <c r="G974" s="5"/>
      <c r="H974" s="5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5"/>
      <c r="V974" s="5"/>
      <c r="W974" s="5"/>
      <c r="X974" s="5"/>
      <c r="Y974" s="5"/>
      <c r="Z974" s="5"/>
    </row>
    <row r="975" spans="1:26" ht="14.25" customHeight="1">
      <c r="A975" s="5"/>
      <c r="B975" s="22"/>
      <c r="C975" s="22"/>
      <c r="D975" s="5"/>
      <c r="E975" s="5"/>
      <c r="F975" s="22"/>
      <c r="G975" s="5"/>
      <c r="H975" s="5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5"/>
      <c r="V975" s="5"/>
      <c r="W975" s="5"/>
      <c r="X975" s="5"/>
      <c r="Y975" s="5"/>
      <c r="Z975" s="5"/>
    </row>
    <row r="976" spans="1:26" ht="14.25" customHeight="1">
      <c r="A976" s="5"/>
      <c r="B976" s="22"/>
      <c r="C976" s="22"/>
      <c r="D976" s="5"/>
      <c r="E976" s="5"/>
      <c r="F976" s="22"/>
      <c r="G976" s="5"/>
      <c r="H976" s="5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5"/>
      <c r="V976" s="5"/>
      <c r="W976" s="5"/>
      <c r="X976" s="5"/>
      <c r="Y976" s="5"/>
      <c r="Z976" s="5"/>
    </row>
    <row r="977" spans="1:26" ht="14.25" customHeight="1">
      <c r="A977" s="5"/>
      <c r="B977" s="22"/>
      <c r="C977" s="22"/>
      <c r="D977" s="5"/>
      <c r="E977" s="5"/>
      <c r="F977" s="22"/>
      <c r="G977" s="5"/>
      <c r="H977" s="5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5"/>
      <c r="V977" s="5"/>
      <c r="W977" s="5"/>
      <c r="X977" s="5"/>
      <c r="Y977" s="5"/>
      <c r="Z977" s="5"/>
    </row>
    <row r="978" spans="1:26" ht="14.25" customHeight="1">
      <c r="A978" s="5"/>
      <c r="B978" s="22"/>
      <c r="C978" s="22"/>
      <c r="D978" s="5"/>
      <c r="E978" s="5"/>
      <c r="F978" s="22"/>
      <c r="G978" s="5"/>
      <c r="H978" s="5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5"/>
      <c r="V978" s="5"/>
      <c r="W978" s="5"/>
      <c r="X978" s="5"/>
      <c r="Y978" s="5"/>
      <c r="Z978" s="5"/>
    </row>
    <row r="979" spans="1:26" ht="14.25" customHeight="1">
      <c r="A979" s="5"/>
      <c r="B979" s="22"/>
      <c r="C979" s="22"/>
      <c r="D979" s="5"/>
      <c r="E979" s="5"/>
      <c r="F979" s="22"/>
      <c r="G979" s="5"/>
      <c r="H979" s="5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5"/>
      <c r="V979" s="5"/>
      <c r="W979" s="5"/>
      <c r="X979" s="5"/>
      <c r="Y979" s="5"/>
      <c r="Z979" s="5"/>
    </row>
    <row r="980" spans="1:26" ht="14.25" customHeight="1">
      <c r="A980" s="5"/>
      <c r="B980" s="22"/>
      <c r="C980" s="22"/>
      <c r="D980" s="5"/>
      <c r="E980" s="5"/>
      <c r="F980" s="22"/>
      <c r="G980" s="5"/>
      <c r="H980" s="5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5"/>
      <c r="V980" s="5"/>
      <c r="W980" s="5"/>
      <c r="X980" s="5"/>
      <c r="Y980" s="5"/>
      <c r="Z980" s="5"/>
    </row>
    <row r="981" spans="1:26" ht="14.25" customHeight="1">
      <c r="A981" s="5"/>
      <c r="B981" s="22"/>
      <c r="C981" s="22"/>
      <c r="D981" s="5"/>
      <c r="E981" s="5"/>
      <c r="F981" s="22"/>
      <c r="G981" s="5"/>
      <c r="H981" s="5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5"/>
      <c r="V981" s="5"/>
      <c r="W981" s="5"/>
      <c r="X981" s="5"/>
      <c r="Y981" s="5"/>
      <c r="Z981" s="5"/>
    </row>
    <row r="982" spans="1:26" ht="14.25" customHeight="1">
      <c r="A982" s="5"/>
      <c r="B982" s="22"/>
      <c r="C982" s="22"/>
      <c r="D982" s="5"/>
      <c r="E982" s="5"/>
      <c r="F982" s="22"/>
      <c r="G982" s="5"/>
      <c r="H982" s="5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5"/>
      <c r="V982" s="5"/>
      <c r="W982" s="5"/>
      <c r="X982" s="5"/>
      <c r="Y982" s="5"/>
      <c r="Z982" s="5"/>
    </row>
    <row r="983" spans="1:26" ht="14.25" customHeight="1">
      <c r="A983" s="5"/>
      <c r="B983" s="22"/>
      <c r="C983" s="22"/>
      <c r="D983" s="5"/>
      <c r="E983" s="5"/>
      <c r="F983" s="22"/>
      <c r="G983" s="5"/>
      <c r="H983" s="5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5"/>
      <c r="V983" s="5"/>
      <c r="W983" s="5"/>
      <c r="X983" s="5"/>
      <c r="Y983" s="5"/>
      <c r="Z983" s="5"/>
    </row>
    <row r="984" spans="1:26" ht="14.25" customHeight="1">
      <c r="A984" s="5"/>
      <c r="B984" s="22"/>
      <c r="C984" s="22"/>
      <c r="D984" s="5"/>
      <c r="E984" s="5"/>
      <c r="F984" s="22"/>
      <c r="G984" s="5"/>
      <c r="H984" s="5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5"/>
      <c r="V984" s="5"/>
      <c r="W984" s="5"/>
      <c r="X984" s="5"/>
      <c r="Y984" s="5"/>
      <c r="Z984" s="5"/>
    </row>
    <row r="985" spans="1:26" ht="14.25" customHeight="1">
      <c r="A985" s="5"/>
      <c r="B985" s="22"/>
      <c r="C985" s="22"/>
      <c r="D985" s="5"/>
      <c r="E985" s="5"/>
      <c r="F985" s="22"/>
      <c r="G985" s="5"/>
      <c r="H985" s="5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5"/>
      <c r="V985" s="5"/>
      <c r="W985" s="5"/>
      <c r="X985" s="5"/>
      <c r="Y985" s="5"/>
      <c r="Z985" s="5"/>
    </row>
    <row r="986" spans="1:26" ht="14.25" customHeight="1">
      <c r="A986" s="5"/>
      <c r="B986" s="22"/>
      <c r="C986" s="22"/>
      <c r="D986" s="5"/>
      <c r="E986" s="5"/>
      <c r="F986" s="22"/>
      <c r="G986" s="5"/>
      <c r="H986" s="5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5"/>
      <c r="V986" s="5"/>
      <c r="W986" s="5"/>
      <c r="X986" s="5"/>
      <c r="Y986" s="5"/>
      <c r="Z986" s="5"/>
    </row>
    <row r="987" spans="1:26" ht="14.25" customHeight="1">
      <c r="A987" s="5"/>
      <c r="B987" s="22"/>
      <c r="C987" s="22"/>
      <c r="D987" s="5"/>
      <c r="E987" s="5"/>
      <c r="F987" s="22"/>
      <c r="G987" s="5"/>
      <c r="H987" s="5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5"/>
      <c r="V987" s="5"/>
      <c r="W987" s="5"/>
      <c r="X987" s="5"/>
      <c r="Y987" s="5"/>
      <c r="Z987" s="5"/>
    </row>
    <row r="988" spans="1:26" ht="14.25" customHeight="1">
      <c r="A988" s="5"/>
      <c r="B988" s="22"/>
      <c r="C988" s="22"/>
      <c r="D988" s="5"/>
      <c r="E988" s="5"/>
      <c r="F988" s="22"/>
      <c r="G988" s="5"/>
      <c r="H988" s="5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5"/>
      <c r="V988" s="5"/>
      <c r="W988" s="5"/>
      <c r="X988" s="5"/>
      <c r="Y988" s="5"/>
      <c r="Z988" s="5"/>
    </row>
    <row r="989" spans="1:26" ht="14.25" customHeight="1">
      <c r="A989" s="5"/>
      <c r="B989" s="22"/>
      <c r="C989" s="22"/>
      <c r="D989" s="5"/>
      <c r="E989" s="5"/>
      <c r="F989" s="22"/>
      <c r="G989" s="5"/>
      <c r="H989" s="5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5"/>
      <c r="V989" s="5"/>
      <c r="W989" s="5"/>
      <c r="X989" s="5"/>
      <c r="Y989" s="5"/>
      <c r="Z989" s="5"/>
    </row>
    <row r="990" spans="1:26" ht="14.25" customHeight="1">
      <c r="A990" s="5"/>
      <c r="B990" s="22"/>
      <c r="C990" s="22"/>
      <c r="D990" s="5"/>
      <c r="E990" s="5"/>
      <c r="F990" s="22"/>
      <c r="G990" s="5"/>
      <c r="H990" s="5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5"/>
      <c r="V990" s="5"/>
      <c r="W990" s="5"/>
      <c r="X990" s="5"/>
      <c r="Y990" s="5"/>
      <c r="Z990" s="5"/>
    </row>
    <row r="991" spans="1:26" ht="14.25" customHeight="1">
      <c r="A991" s="5"/>
      <c r="B991" s="22"/>
      <c r="C991" s="22"/>
      <c r="D991" s="5"/>
      <c r="E991" s="5"/>
      <c r="F991" s="22"/>
      <c r="G991" s="5"/>
      <c r="H991" s="5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5"/>
      <c r="V991" s="5"/>
      <c r="W991" s="5"/>
      <c r="X991" s="5"/>
      <c r="Y991" s="5"/>
      <c r="Z991" s="5"/>
    </row>
    <row r="992" spans="1:26" ht="14.25" customHeight="1">
      <c r="A992" s="5"/>
      <c r="B992" s="22"/>
      <c r="C992" s="22"/>
      <c r="D992" s="5"/>
      <c r="E992" s="5"/>
      <c r="F992" s="22"/>
      <c r="G992" s="5"/>
      <c r="H992" s="5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5"/>
      <c r="V992" s="5"/>
      <c r="W992" s="5"/>
      <c r="X992" s="5"/>
      <c r="Y992" s="5"/>
      <c r="Z992" s="5"/>
    </row>
    <row r="993" spans="1:26" ht="14.25" customHeight="1">
      <c r="A993" s="5"/>
      <c r="B993" s="22"/>
      <c r="C993" s="22"/>
      <c r="D993" s="5"/>
      <c r="E993" s="5"/>
      <c r="F993" s="22"/>
      <c r="G993" s="5"/>
      <c r="H993" s="5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5"/>
      <c r="V993" s="5"/>
      <c r="W993" s="5"/>
      <c r="X993" s="5"/>
      <c r="Y993" s="5"/>
      <c r="Z993" s="5"/>
    </row>
    <row r="994" spans="1:26" ht="14.25" customHeight="1">
      <c r="A994" s="5"/>
      <c r="B994" s="22"/>
      <c r="C994" s="22"/>
      <c r="D994" s="5"/>
      <c r="E994" s="5"/>
      <c r="F994" s="22"/>
      <c r="G994" s="5"/>
      <c r="H994" s="5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5"/>
      <c r="V994" s="5"/>
      <c r="W994" s="5"/>
      <c r="X994" s="5"/>
      <c r="Y994" s="5"/>
      <c r="Z994" s="5"/>
    </row>
    <row r="995" spans="1:26" ht="14.25" customHeight="1">
      <c r="A995" s="5"/>
      <c r="B995" s="22"/>
      <c r="C995" s="22"/>
      <c r="D995" s="5"/>
      <c r="E995" s="5"/>
      <c r="F995" s="22"/>
      <c r="G995" s="5"/>
      <c r="H995" s="5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5"/>
      <c r="V995" s="5"/>
      <c r="W995" s="5"/>
      <c r="X995" s="5"/>
      <c r="Y995" s="5"/>
      <c r="Z995" s="5"/>
    </row>
    <row r="996" spans="1:26" ht="14.25" customHeight="1">
      <c r="A996" s="5"/>
      <c r="B996" s="22"/>
      <c r="C996" s="22"/>
      <c r="D996" s="5"/>
      <c r="E996" s="5"/>
      <c r="F996" s="22"/>
      <c r="G996" s="5"/>
      <c r="H996" s="5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5"/>
      <c r="V996" s="5"/>
      <c r="W996" s="5"/>
      <c r="X996" s="5"/>
      <c r="Y996" s="5"/>
      <c r="Z996" s="5"/>
    </row>
    <row r="997" spans="1:26" ht="14.25" customHeight="1">
      <c r="A997" s="5"/>
      <c r="B997" s="22"/>
      <c r="C997" s="22"/>
      <c r="D997" s="5"/>
      <c r="E997" s="5"/>
      <c r="F997" s="22"/>
      <c r="G997" s="5"/>
      <c r="H997" s="5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5"/>
      <c r="V997" s="5"/>
      <c r="W997" s="5"/>
      <c r="X997" s="5"/>
      <c r="Y997" s="5"/>
      <c r="Z997" s="5"/>
    </row>
    <row r="998" spans="1:26" ht="14.25" customHeight="1">
      <c r="A998" s="5"/>
      <c r="B998" s="22"/>
      <c r="C998" s="22"/>
      <c r="D998" s="5"/>
      <c r="E998" s="5"/>
      <c r="F998" s="22"/>
      <c r="G998" s="5"/>
      <c r="H998" s="5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5"/>
      <c r="V998" s="5"/>
      <c r="W998" s="5"/>
      <c r="X998" s="5"/>
      <c r="Y998" s="5"/>
      <c r="Z998" s="5"/>
    </row>
    <row r="999" spans="1:26" ht="14.25" customHeight="1">
      <c r="A999" s="5"/>
      <c r="B999" s="22"/>
      <c r="C999" s="22"/>
      <c r="D999" s="5"/>
      <c r="E999" s="5"/>
      <c r="F999" s="22"/>
      <c r="G999" s="5"/>
      <c r="H999" s="5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22"/>
      <c r="C1000" s="22"/>
      <c r="D1000" s="5"/>
      <c r="E1000" s="5"/>
      <c r="F1000" s="22"/>
      <c r="G1000" s="5"/>
      <c r="H1000" s="5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5"/>
      <c r="V1000" s="5"/>
      <c r="W1000" s="5"/>
      <c r="X1000" s="5"/>
      <c r="Y1000" s="5"/>
      <c r="Z1000" s="5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34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9.7109375" customWidth="1"/>
    <col min="2" max="2" width="20.7109375" customWidth="1"/>
    <col min="3" max="3" width="16.28515625" customWidth="1"/>
    <col min="4" max="4" width="24.5703125" customWidth="1"/>
    <col min="5" max="5" width="70.85546875" customWidth="1"/>
    <col min="6" max="6" width="64.7109375" customWidth="1"/>
    <col min="7" max="7" width="36.7109375" customWidth="1"/>
    <col min="8" max="8" width="15.5703125" customWidth="1"/>
    <col min="9" max="26" width="7.85546875" customWidth="1"/>
  </cols>
  <sheetData>
    <row r="1" spans="1:26" ht="14.25" customHeight="1">
      <c r="A1" s="211" t="s">
        <v>1543</v>
      </c>
      <c r="B1" s="201"/>
      <c r="C1" s="201"/>
      <c r="D1" s="201"/>
      <c r="E1" s="37"/>
      <c r="F1" s="38"/>
      <c r="G1" s="37"/>
      <c r="H1" s="39" t="s">
        <v>1543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4.25" customHeight="1">
      <c r="A2" s="41"/>
      <c r="B2" s="42"/>
      <c r="C2" s="42"/>
      <c r="D2" s="41"/>
      <c r="E2" s="41"/>
      <c r="F2" s="43"/>
      <c r="G2" s="41"/>
      <c r="H2" s="44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4.25" customHeight="1">
      <c r="A3" s="212" t="s">
        <v>722</v>
      </c>
      <c r="B3" s="192"/>
      <c r="C3" s="192"/>
      <c r="D3" s="192"/>
      <c r="E3" s="192"/>
      <c r="F3" s="192"/>
      <c r="G3" s="192"/>
      <c r="H3" s="192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4.25" customHeight="1">
      <c r="A4" s="41"/>
      <c r="B4" s="42"/>
      <c r="C4" s="42"/>
      <c r="D4" s="41"/>
      <c r="E4" s="41"/>
      <c r="F4" s="45"/>
      <c r="G4" s="46"/>
      <c r="H4" s="46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4.25" customHeight="1">
      <c r="A5" s="47" t="s">
        <v>726</v>
      </c>
      <c r="B5" s="20" t="s">
        <v>727</v>
      </c>
      <c r="C5" s="213" t="s">
        <v>728</v>
      </c>
      <c r="D5" s="214"/>
      <c r="E5" s="20" t="s">
        <v>734</v>
      </c>
      <c r="F5" s="48" t="s">
        <v>1012</v>
      </c>
      <c r="G5" s="49" t="s">
        <v>1013</v>
      </c>
      <c r="H5" s="20" t="s">
        <v>20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4.25" customHeight="1">
      <c r="A6" s="51"/>
      <c r="B6" s="20"/>
      <c r="C6" s="52" t="s">
        <v>22</v>
      </c>
      <c r="D6" s="53" t="s">
        <v>733</v>
      </c>
      <c r="E6" s="20"/>
      <c r="F6" s="48"/>
      <c r="G6" s="49"/>
      <c r="H6" s="2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4.25" customHeight="1">
      <c r="A7" s="54" t="s">
        <v>1014</v>
      </c>
      <c r="B7" s="23" t="s">
        <v>1015</v>
      </c>
      <c r="C7" s="23" t="s">
        <v>1016</v>
      </c>
      <c r="D7" s="55" t="s">
        <v>1017</v>
      </c>
      <c r="E7" s="25" t="s">
        <v>1018</v>
      </c>
      <c r="F7" s="35" t="s">
        <v>1019</v>
      </c>
      <c r="G7" s="36" t="s">
        <v>1020</v>
      </c>
      <c r="H7" s="36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25" customHeight="1">
      <c r="A8" s="54" t="s">
        <v>1021</v>
      </c>
      <c r="B8" s="23" t="s">
        <v>1022</v>
      </c>
      <c r="C8" s="23" t="s">
        <v>1023</v>
      </c>
      <c r="D8" s="55" t="s">
        <v>1024</v>
      </c>
      <c r="E8" s="56" t="s">
        <v>1025</v>
      </c>
      <c r="F8" s="57" t="s">
        <v>1026</v>
      </c>
      <c r="G8" s="58" t="s">
        <v>1027</v>
      </c>
      <c r="H8" s="59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4.25" customHeight="1">
      <c r="A9" s="54" t="s">
        <v>1028</v>
      </c>
      <c r="B9" s="23" t="s">
        <v>1029</v>
      </c>
      <c r="C9" s="23" t="s">
        <v>1030</v>
      </c>
      <c r="D9" s="55" t="s">
        <v>1031</v>
      </c>
      <c r="E9" s="25" t="s">
        <v>1032</v>
      </c>
      <c r="F9" s="60" t="s">
        <v>1033</v>
      </c>
      <c r="G9" s="61" t="s">
        <v>1027</v>
      </c>
      <c r="H9" s="36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4.25" customHeight="1">
      <c r="A10" s="54" t="s">
        <v>1034</v>
      </c>
      <c r="B10" s="23" t="s">
        <v>1035</v>
      </c>
      <c r="C10" s="23" t="s">
        <v>1036</v>
      </c>
      <c r="D10" s="55" t="s">
        <v>1037</v>
      </c>
      <c r="E10" s="25" t="s">
        <v>1038</v>
      </c>
      <c r="F10" s="60" t="s">
        <v>1039</v>
      </c>
      <c r="G10" s="61" t="s">
        <v>1027</v>
      </c>
      <c r="H10" s="36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4.25" customHeight="1">
      <c r="A11" s="54" t="s">
        <v>1040</v>
      </c>
      <c r="B11" s="23" t="s">
        <v>1041</v>
      </c>
      <c r="C11" s="23" t="s">
        <v>1042</v>
      </c>
      <c r="D11" s="55" t="s">
        <v>1043</v>
      </c>
      <c r="E11" s="25" t="s">
        <v>1044</v>
      </c>
      <c r="F11" s="60" t="s">
        <v>1045</v>
      </c>
      <c r="G11" s="61" t="s">
        <v>1027</v>
      </c>
      <c r="H11" s="36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25" customHeight="1">
      <c r="A12" s="54" t="s">
        <v>1046</v>
      </c>
      <c r="B12" s="23" t="s">
        <v>1047</v>
      </c>
      <c r="C12" s="23" t="s">
        <v>1048</v>
      </c>
      <c r="D12" s="55" t="s">
        <v>1049</v>
      </c>
      <c r="E12" s="25" t="s">
        <v>1050</v>
      </c>
      <c r="F12" s="60" t="s">
        <v>1051</v>
      </c>
      <c r="G12" s="61" t="s">
        <v>1027</v>
      </c>
      <c r="H12" s="36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25" customHeight="1">
      <c r="A13" s="54" t="s">
        <v>1052</v>
      </c>
      <c r="B13" s="23" t="s">
        <v>1053</v>
      </c>
      <c r="C13" s="23" t="s">
        <v>1054</v>
      </c>
      <c r="D13" s="55" t="s">
        <v>1055</v>
      </c>
      <c r="E13" s="25" t="s">
        <v>1056</v>
      </c>
      <c r="F13" s="60" t="s">
        <v>1057</v>
      </c>
      <c r="G13" s="61" t="s">
        <v>1027</v>
      </c>
      <c r="H13" s="36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25" customHeight="1">
      <c r="A14" s="54" t="s">
        <v>1058</v>
      </c>
      <c r="B14" s="23" t="s">
        <v>1059</v>
      </c>
      <c r="C14" s="23" t="s">
        <v>1060</v>
      </c>
      <c r="D14" s="55" t="s">
        <v>1061</v>
      </c>
      <c r="E14" s="35" t="s">
        <v>1062</v>
      </c>
      <c r="F14" s="60" t="s">
        <v>1063</v>
      </c>
      <c r="G14" s="61" t="s">
        <v>1027</v>
      </c>
      <c r="H14" s="36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25" customHeight="1">
      <c r="A15" s="54" t="s">
        <v>1064</v>
      </c>
      <c r="B15" s="23" t="s">
        <v>1065</v>
      </c>
      <c r="C15" s="23" t="s">
        <v>1066</v>
      </c>
      <c r="D15" s="55" t="s">
        <v>1067</v>
      </c>
      <c r="E15" s="25" t="s">
        <v>1068</v>
      </c>
      <c r="F15" s="62" t="s">
        <v>1069</v>
      </c>
      <c r="G15" s="61" t="s">
        <v>1070</v>
      </c>
      <c r="H15" s="36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4.25" customHeight="1">
      <c r="A16" s="54" t="s">
        <v>1071</v>
      </c>
      <c r="B16" s="23" t="s">
        <v>1072</v>
      </c>
      <c r="C16" s="23" t="s">
        <v>1073</v>
      </c>
      <c r="D16" s="55" t="s">
        <v>1074</v>
      </c>
      <c r="E16" s="25" t="s">
        <v>1075</v>
      </c>
      <c r="F16" s="60" t="s">
        <v>1076</v>
      </c>
      <c r="G16" s="61" t="s">
        <v>1077</v>
      </c>
      <c r="H16" s="28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4.25" customHeight="1">
      <c r="A17" s="54" t="s">
        <v>1078</v>
      </c>
      <c r="B17" s="23" t="s">
        <v>1079</v>
      </c>
      <c r="C17" s="23" t="s">
        <v>1080</v>
      </c>
      <c r="D17" s="55" t="s">
        <v>1081</v>
      </c>
      <c r="E17" s="35" t="s">
        <v>1082</v>
      </c>
      <c r="F17" s="60" t="s">
        <v>1083</v>
      </c>
      <c r="G17" s="63" t="s">
        <v>1084</v>
      </c>
      <c r="H17" s="28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204" customHeight="1">
      <c r="A18" s="54" t="s">
        <v>1085</v>
      </c>
      <c r="B18" s="23" t="s">
        <v>1086</v>
      </c>
      <c r="C18" s="23" t="s">
        <v>1087</v>
      </c>
      <c r="D18" s="55" t="s">
        <v>1088</v>
      </c>
      <c r="E18" s="25" t="s">
        <v>1089</v>
      </c>
      <c r="F18" s="60" t="s">
        <v>1090</v>
      </c>
      <c r="G18" s="63" t="s">
        <v>1091</v>
      </c>
      <c r="H18" s="28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314.25" customHeight="1">
      <c r="A19" s="54" t="s">
        <v>1092</v>
      </c>
      <c r="B19" s="23" t="s">
        <v>1093</v>
      </c>
      <c r="C19" s="23" t="s">
        <v>1094</v>
      </c>
      <c r="D19" s="55" t="s">
        <v>1095</v>
      </c>
      <c r="E19" s="25" t="s">
        <v>1096</v>
      </c>
      <c r="F19" s="60" t="s">
        <v>1097</v>
      </c>
      <c r="G19" s="63" t="s">
        <v>1098</v>
      </c>
      <c r="H19" s="28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4.25" customHeight="1">
      <c r="A20" s="54" t="s">
        <v>1099</v>
      </c>
      <c r="B20" s="23" t="s">
        <v>1100</v>
      </c>
      <c r="C20" s="23" t="s">
        <v>1101</v>
      </c>
      <c r="D20" s="55" t="s">
        <v>1102</v>
      </c>
      <c r="E20" s="25" t="s">
        <v>1103</v>
      </c>
      <c r="F20" s="60" t="s">
        <v>1104</v>
      </c>
      <c r="G20" s="63" t="s">
        <v>1070</v>
      </c>
      <c r="H20" s="2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4.25" customHeight="1">
      <c r="A21" s="54" t="s">
        <v>1105</v>
      </c>
      <c r="B21" s="23" t="s">
        <v>1106</v>
      </c>
      <c r="C21" s="23" t="s">
        <v>1107</v>
      </c>
      <c r="D21" s="55" t="s">
        <v>1108</v>
      </c>
      <c r="E21" s="25" t="s">
        <v>1109</v>
      </c>
      <c r="F21" s="64" t="s">
        <v>1110</v>
      </c>
      <c r="G21" s="63" t="s">
        <v>1070</v>
      </c>
      <c r="H21" s="28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4.25" customHeight="1">
      <c r="A22" s="54" t="s">
        <v>1111</v>
      </c>
      <c r="B22" s="23" t="s">
        <v>1112</v>
      </c>
      <c r="C22" s="23" t="s">
        <v>1113</v>
      </c>
      <c r="D22" s="55" t="s">
        <v>1114</v>
      </c>
      <c r="E22" s="25" t="s">
        <v>1115</v>
      </c>
      <c r="F22" s="60" t="s">
        <v>1116</v>
      </c>
      <c r="G22" s="63" t="s">
        <v>1117</v>
      </c>
      <c r="H22" s="28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4.25" customHeight="1">
      <c r="A23" s="54" t="s">
        <v>1118</v>
      </c>
      <c r="B23" s="23" t="s">
        <v>1119</v>
      </c>
      <c r="C23" s="23" t="s">
        <v>1120</v>
      </c>
      <c r="D23" s="55" t="s">
        <v>1121</v>
      </c>
      <c r="E23" s="25" t="s">
        <v>1122</v>
      </c>
      <c r="F23" s="60" t="s">
        <v>1123</v>
      </c>
      <c r="G23" s="63" t="s">
        <v>1124</v>
      </c>
      <c r="H23" s="28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4.25" customHeight="1">
      <c r="A24" s="54" t="s">
        <v>1125</v>
      </c>
      <c r="B24" s="23" t="s">
        <v>1126</v>
      </c>
      <c r="C24" s="23" t="s">
        <v>1127</v>
      </c>
      <c r="D24" s="55" t="s">
        <v>1128</v>
      </c>
      <c r="E24" s="25" t="s">
        <v>1129</v>
      </c>
      <c r="F24" s="64" t="s">
        <v>1130</v>
      </c>
      <c r="G24" s="63" t="s">
        <v>1131</v>
      </c>
      <c r="H24" s="28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4.25" customHeight="1">
      <c r="A25" s="54" t="s">
        <v>1132</v>
      </c>
      <c r="B25" s="23" t="s">
        <v>1133</v>
      </c>
      <c r="C25" s="23" t="s">
        <v>1134</v>
      </c>
      <c r="D25" s="55" t="s">
        <v>1135</v>
      </c>
      <c r="E25" s="25" t="s">
        <v>1136</v>
      </c>
      <c r="F25" s="60" t="s">
        <v>1137</v>
      </c>
      <c r="G25" s="65" t="s">
        <v>1138</v>
      </c>
      <c r="H25" s="28" t="s">
        <v>1139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4.25" customHeight="1">
      <c r="A26" s="54" t="s">
        <v>1140</v>
      </c>
      <c r="B26" s="23" t="s">
        <v>1141</v>
      </c>
      <c r="C26" s="23" t="s">
        <v>1142</v>
      </c>
      <c r="D26" s="55" t="s">
        <v>1143</v>
      </c>
      <c r="E26" s="25" t="s">
        <v>1144</v>
      </c>
      <c r="F26" s="60" t="s">
        <v>1145</v>
      </c>
      <c r="G26" s="66" t="s">
        <v>1146</v>
      </c>
      <c r="H26" s="28" t="s">
        <v>1147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4.25" customHeight="1">
      <c r="A27" s="54" t="s">
        <v>1148</v>
      </c>
      <c r="B27" s="23" t="s">
        <v>1149</v>
      </c>
      <c r="C27" s="23" t="s">
        <v>1150</v>
      </c>
      <c r="D27" s="55" t="s">
        <v>1151</v>
      </c>
      <c r="E27" s="25" t="s">
        <v>1152</v>
      </c>
      <c r="F27" s="64" t="s">
        <v>1153</v>
      </c>
      <c r="G27" s="67" t="s">
        <v>1154</v>
      </c>
      <c r="H27" s="28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4.25" customHeight="1">
      <c r="A28" s="54" t="s">
        <v>1155</v>
      </c>
      <c r="B28" s="23" t="s">
        <v>1156</v>
      </c>
      <c r="C28" s="23" t="s">
        <v>1157</v>
      </c>
      <c r="D28" s="55" t="s">
        <v>1158</v>
      </c>
      <c r="E28" s="25" t="s">
        <v>1159</v>
      </c>
      <c r="F28" s="60" t="s">
        <v>1160</v>
      </c>
      <c r="G28" s="67" t="s">
        <v>1154</v>
      </c>
      <c r="H28" s="28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4.25" customHeight="1">
      <c r="A29" s="54" t="s">
        <v>1161</v>
      </c>
      <c r="B29" s="23" t="s">
        <v>1162</v>
      </c>
      <c r="C29" s="23" t="s">
        <v>1163</v>
      </c>
      <c r="D29" s="55" t="s">
        <v>1164</v>
      </c>
      <c r="E29" s="25" t="s">
        <v>1165</v>
      </c>
      <c r="F29" s="60" t="s">
        <v>1166</v>
      </c>
      <c r="G29" s="67" t="s">
        <v>1167</v>
      </c>
      <c r="H29" s="28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4.25" customHeight="1">
      <c r="A30" s="54" t="s">
        <v>1168</v>
      </c>
      <c r="B30" s="23" t="s">
        <v>1169</v>
      </c>
      <c r="C30" s="23" t="s">
        <v>1170</v>
      </c>
      <c r="D30" s="55" t="s">
        <v>1171</v>
      </c>
      <c r="E30" s="25" t="s">
        <v>1172</v>
      </c>
      <c r="F30" s="64" t="s">
        <v>1173</v>
      </c>
      <c r="G30" s="67" t="s">
        <v>1167</v>
      </c>
      <c r="H30" s="28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4.25" customHeight="1">
      <c r="A31" s="54" t="s">
        <v>1174</v>
      </c>
      <c r="B31" s="23" t="s">
        <v>1175</v>
      </c>
      <c r="C31" s="23" t="s">
        <v>1176</v>
      </c>
      <c r="D31" s="55" t="s">
        <v>1177</v>
      </c>
      <c r="E31" s="25" t="s">
        <v>1178</v>
      </c>
      <c r="F31" s="60" t="s">
        <v>1179</v>
      </c>
      <c r="G31" s="63" t="s">
        <v>1180</v>
      </c>
      <c r="H31" s="28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4.25" customHeight="1">
      <c r="A32" s="54" t="s">
        <v>1181</v>
      </c>
      <c r="B32" s="23" t="s">
        <v>1182</v>
      </c>
      <c r="C32" s="23" t="s">
        <v>1183</v>
      </c>
      <c r="D32" s="55" t="s">
        <v>1184</v>
      </c>
      <c r="E32" s="25" t="s">
        <v>1185</v>
      </c>
      <c r="F32" s="60" t="s">
        <v>1186</v>
      </c>
      <c r="G32" s="67" t="s">
        <v>1187</v>
      </c>
      <c r="H32" s="28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4.25" customHeight="1">
      <c r="A33" s="54" t="s">
        <v>1188</v>
      </c>
      <c r="B33" s="23" t="s">
        <v>1189</v>
      </c>
      <c r="C33" s="23" t="s">
        <v>1190</v>
      </c>
      <c r="D33" s="55" t="s">
        <v>1191</v>
      </c>
      <c r="E33" s="25" t="s">
        <v>1192</v>
      </c>
      <c r="F33" s="60" t="s">
        <v>1193</v>
      </c>
      <c r="G33" s="67" t="s">
        <v>1194</v>
      </c>
      <c r="H33" s="28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4.25" customHeight="1">
      <c r="A34" s="54" t="s">
        <v>1195</v>
      </c>
      <c r="B34" s="23" t="s">
        <v>1189</v>
      </c>
      <c r="C34" s="23" t="s">
        <v>1196</v>
      </c>
      <c r="D34" s="55" t="s">
        <v>1197</v>
      </c>
      <c r="E34" s="25" t="s">
        <v>1198</v>
      </c>
      <c r="F34" s="60" t="s">
        <v>1199</v>
      </c>
      <c r="G34" s="67" t="s">
        <v>1194</v>
      </c>
      <c r="H34" s="28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4.25" customHeight="1">
      <c r="A35" s="54" t="s">
        <v>1200</v>
      </c>
      <c r="B35" s="23" t="s">
        <v>1201</v>
      </c>
      <c r="C35" s="23" t="s">
        <v>1202</v>
      </c>
      <c r="D35" s="55" t="s">
        <v>1203</v>
      </c>
      <c r="E35" s="25" t="s">
        <v>1204</v>
      </c>
      <c r="F35" s="60" t="s">
        <v>1205</v>
      </c>
      <c r="G35" s="67" t="s">
        <v>1206</v>
      </c>
      <c r="H35" s="28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4.25" customHeight="1">
      <c r="A36" s="54" t="s">
        <v>1207</v>
      </c>
      <c r="B36" s="23" t="s">
        <v>1201</v>
      </c>
      <c r="C36" s="23" t="s">
        <v>1208</v>
      </c>
      <c r="D36" s="55" t="s">
        <v>1209</v>
      </c>
      <c r="E36" s="25" t="s">
        <v>1210</v>
      </c>
      <c r="F36" s="60" t="s">
        <v>1211</v>
      </c>
      <c r="G36" s="67" t="s">
        <v>1194</v>
      </c>
      <c r="H36" s="28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4.25" customHeight="1">
      <c r="A37" s="54" t="s">
        <v>1212</v>
      </c>
      <c r="B37" s="23" t="s">
        <v>1201</v>
      </c>
      <c r="C37" s="23" t="s">
        <v>1213</v>
      </c>
      <c r="D37" s="55" t="s">
        <v>1214</v>
      </c>
      <c r="E37" s="25" t="s">
        <v>1215</v>
      </c>
      <c r="F37" s="60" t="s">
        <v>1216</v>
      </c>
      <c r="G37" s="63" t="s">
        <v>1217</v>
      </c>
      <c r="H37" s="28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4.25" customHeight="1">
      <c r="A38" s="54" t="s">
        <v>1218</v>
      </c>
      <c r="B38" s="23" t="s">
        <v>1201</v>
      </c>
      <c r="C38" s="23" t="s">
        <v>1219</v>
      </c>
      <c r="D38" s="55" t="s">
        <v>1220</v>
      </c>
      <c r="E38" s="25" t="s">
        <v>1221</v>
      </c>
      <c r="F38" s="60" t="s">
        <v>1222</v>
      </c>
      <c r="G38" s="67" t="s">
        <v>1223</v>
      </c>
      <c r="H38" s="28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4.25" customHeight="1">
      <c r="A39" s="54" t="s">
        <v>1224</v>
      </c>
      <c r="B39" s="23" t="s">
        <v>1225</v>
      </c>
      <c r="C39" s="23" t="s">
        <v>1226</v>
      </c>
      <c r="D39" s="55" t="s">
        <v>1227</v>
      </c>
      <c r="E39" s="25" t="s">
        <v>1228</v>
      </c>
      <c r="F39" s="60" t="s">
        <v>1229</v>
      </c>
      <c r="G39" s="63" t="s">
        <v>1167</v>
      </c>
      <c r="H39" s="28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4.25" customHeight="1">
      <c r="A40" s="54" t="s">
        <v>1230</v>
      </c>
      <c r="B40" s="23" t="s">
        <v>664</v>
      </c>
      <c r="C40" s="23" t="s">
        <v>1231</v>
      </c>
      <c r="D40" s="55" t="s">
        <v>1232</v>
      </c>
      <c r="E40" s="25" t="s">
        <v>1233</v>
      </c>
      <c r="F40" s="60" t="s">
        <v>1234</v>
      </c>
      <c r="G40" s="63" t="s">
        <v>1235</v>
      </c>
      <c r="H40" s="28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4.25" customHeight="1">
      <c r="A41" s="54" t="s">
        <v>1236</v>
      </c>
      <c r="B41" s="23" t="s">
        <v>681</v>
      </c>
      <c r="C41" s="23" t="s">
        <v>1237</v>
      </c>
      <c r="D41" s="55" t="s">
        <v>1238</v>
      </c>
      <c r="E41" s="25" t="s">
        <v>1239</v>
      </c>
      <c r="F41" s="60" t="s">
        <v>1240</v>
      </c>
      <c r="G41" s="63" t="s">
        <v>1235</v>
      </c>
      <c r="H41" s="28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4.25" customHeight="1">
      <c r="A42" s="54" t="s">
        <v>1241</v>
      </c>
      <c r="B42" s="23" t="s">
        <v>704</v>
      </c>
      <c r="C42" s="23" t="s">
        <v>1242</v>
      </c>
      <c r="D42" s="55" t="s">
        <v>1243</v>
      </c>
      <c r="E42" s="25" t="s">
        <v>1244</v>
      </c>
      <c r="F42" s="60" t="s">
        <v>1245</v>
      </c>
      <c r="G42" s="63" t="s">
        <v>1235</v>
      </c>
      <c r="H42" s="28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4.25" customHeight="1">
      <c r="A43" s="54" t="s">
        <v>1246</v>
      </c>
      <c r="B43" s="23" t="s">
        <v>710</v>
      </c>
      <c r="C43" s="23" t="s">
        <v>1247</v>
      </c>
      <c r="D43" s="55" t="s">
        <v>1248</v>
      </c>
      <c r="E43" s="25" t="s">
        <v>1249</v>
      </c>
      <c r="F43" s="60" t="s">
        <v>1250</v>
      </c>
      <c r="G43" s="63" t="s">
        <v>1235</v>
      </c>
      <c r="H43" s="28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4.25" customHeight="1">
      <c r="A44" s="54" t="s">
        <v>1251</v>
      </c>
      <c r="B44" s="23" t="s">
        <v>28</v>
      </c>
      <c r="C44" s="23" t="s">
        <v>29</v>
      </c>
      <c r="D44" s="25" t="s">
        <v>1252</v>
      </c>
      <c r="E44" s="26" t="s">
        <v>1253</v>
      </c>
      <c r="F44" s="64"/>
      <c r="G44" s="63"/>
      <c r="H44" s="28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4.25" customHeight="1">
      <c r="A45" s="54" t="s">
        <v>1254</v>
      </c>
      <c r="B45" s="24" t="s">
        <v>89</v>
      </c>
      <c r="C45" s="23" t="s">
        <v>90</v>
      </c>
      <c r="D45" s="25" t="s">
        <v>1255</v>
      </c>
      <c r="E45" s="25" t="s">
        <v>1256</v>
      </c>
      <c r="F45" s="60" t="s">
        <v>1257</v>
      </c>
      <c r="G45" s="63" t="s">
        <v>1258</v>
      </c>
      <c r="H45" s="28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4.25" customHeight="1">
      <c r="A46" s="54" t="s">
        <v>1259</v>
      </c>
      <c r="B46" s="23" t="s">
        <v>1260</v>
      </c>
      <c r="C46" s="23" t="s">
        <v>1261</v>
      </c>
      <c r="D46" s="55" t="s">
        <v>1262</v>
      </c>
      <c r="E46" s="25" t="s">
        <v>1263</v>
      </c>
      <c r="F46" s="60" t="s">
        <v>1264</v>
      </c>
      <c r="G46" s="63" t="s">
        <v>1258</v>
      </c>
      <c r="H46" s="28" t="s">
        <v>1265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4.25" customHeight="1">
      <c r="A47" s="54" t="s">
        <v>1266</v>
      </c>
      <c r="B47" s="23" t="s">
        <v>1267</v>
      </c>
      <c r="C47" s="23" t="s">
        <v>1268</v>
      </c>
      <c r="D47" s="55" t="s">
        <v>1269</v>
      </c>
      <c r="E47" s="25" t="s">
        <v>1270</v>
      </c>
      <c r="F47" s="60" t="s">
        <v>1271</v>
      </c>
      <c r="G47" s="63" t="s">
        <v>1258</v>
      </c>
      <c r="H47" s="28" t="s">
        <v>1272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4.25" customHeight="1">
      <c r="A48" s="54" t="s">
        <v>1273</v>
      </c>
      <c r="B48" s="23" t="s">
        <v>1267</v>
      </c>
      <c r="C48" s="23" t="s">
        <v>1274</v>
      </c>
      <c r="D48" s="55" t="s">
        <v>1269</v>
      </c>
      <c r="E48" s="25" t="s">
        <v>1275</v>
      </c>
      <c r="F48" s="60" t="s">
        <v>1276</v>
      </c>
      <c r="G48" s="63" t="s">
        <v>1258</v>
      </c>
      <c r="H48" s="28" t="s">
        <v>1272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4.25" customHeight="1">
      <c r="A49" s="54" t="s">
        <v>1277</v>
      </c>
      <c r="B49" s="23" t="s">
        <v>1267</v>
      </c>
      <c r="C49" s="23" t="s">
        <v>1278</v>
      </c>
      <c r="D49" s="55" t="s">
        <v>1269</v>
      </c>
      <c r="E49" s="25" t="s">
        <v>1279</v>
      </c>
      <c r="F49" s="60" t="s">
        <v>1280</v>
      </c>
      <c r="G49" s="63" t="s">
        <v>1258</v>
      </c>
      <c r="H49" s="28" t="s">
        <v>1272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4.25" customHeight="1">
      <c r="A50" s="54" t="s">
        <v>1281</v>
      </c>
      <c r="B50" s="23" t="s">
        <v>1267</v>
      </c>
      <c r="C50" s="23" t="s">
        <v>1282</v>
      </c>
      <c r="D50" s="55" t="s">
        <v>1269</v>
      </c>
      <c r="E50" s="25" t="s">
        <v>1283</v>
      </c>
      <c r="F50" s="60" t="s">
        <v>1284</v>
      </c>
      <c r="G50" s="63" t="s">
        <v>1258</v>
      </c>
      <c r="H50" s="28" t="s">
        <v>1272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4.25" customHeight="1">
      <c r="A51" s="54" t="s">
        <v>1285</v>
      </c>
      <c r="B51" s="23" t="s">
        <v>1286</v>
      </c>
      <c r="C51" s="23" t="s">
        <v>1287</v>
      </c>
      <c r="D51" s="55" t="s">
        <v>1288</v>
      </c>
      <c r="E51" s="25" t="s">
        <v>1289</v>
      </c>
      <c r="F51" s="60" t="s">
        <v>1290</v>
      </c>
      <c r="G51" s="63" t="s">
        <v>1291</v>
      </c>
      <c r="H51" s="28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4.25" customHeight="1">
      <c r="A52" s="54" t="s">
        <v>1292</v>
      </c>
      <c r="B52" s="23" t="s">
        <v>1293</v>
      </c>
      <c r="C52" s="23" t="s">
        <v>1294</v>
      </c>
      <c r="D52" s="55" t="s">
        <v>1295</v>
      </c>
      <c r="E52" s="25" t="s">
        <v>1296</v>
      </c>
      <c r="F52" s="60" t="s">
        <v>1297</v>
      </c>
      <c r="G52" s="63" t="s">
        <v>1298</v>
      </c>
      <c r="H52" s="28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4.25" customHeight="1">
      <c r="A53" s="54" t="s">
        <v>1299</v>
      </c>
      <c r="B53" s="23" t="s">
        <v>650</v>
      </c>
      <c r="C53" s="23" t="s">
        <v>1300</v>
      </c>
      <c r="D53" s="55" t="s">
        <v>1301</v>
      </c>
      <c r="E53" s="25" t="s">
        <v>1302</v>
      </c>
      <c r="F53" s="60" t="s">
        <v>1303</v>
      </c>
      <c r="G53" s="63" t="s">
        <v>1258</v>
      </c>
      <c r="H53" s="28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4.25" customHeight="1">
      <c r="A54" s="54" t="s">
        <v>1304</v>
      </c>
      <c r="B54" s="23" t="s">
        <v>650</v>
      </c>
      <c r="C54" s="23" t="s">
        <v>1305</v>
      </c>
      <c r="D54" s="55" t="s">
        <v>1306</v>
      </c>
      <c r="E54" s="25" t="s">
        <v>1307</v>
      </c>
      <c r="F54" s="60" t="s">
        <v>1308</v>
      </c>
      <c r="G54" s="63" t="s">
        <v>1309</v>
      </c>
      <c r="H54" s="28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4.25" customHeight="1">
      <c r="A55" s="54" t="s">
        <v>1310</v>
      </c>
      <c r="B55" s="23" t="s">
        <v>650</v>
      </c>
      <c r="C55" s="23" t="s">
        <v>1311</v>
      </c>
      <c r="D55" s="55" t="s">
        <v>1312</v>
      </c>
      <c r="E55" s="25" t="s">
        <v>1313</v>
      </c>
      <c r="F55" s="60" t="s">
        <v>1314</v>
      </c>
      <c r="G55" s="63" t="s">
        <v>1309</v>
      </c>
      <c r="H55" s="28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4.25" customHeight="1">
      <c r="A56" s="54" t="s">
        <v>1315</v>
      </c>
      <c r="B56" s="23" t="s">
        <v>650</v>
      </c>
      <c r="C56" s="23" t="s">
        <v>1316</v>
      </c>
      <c r="D56" s="55" t="s">
        <v>1317</v>
      </c>
      <c r="E56" s="25" t="s">
        <v>1318</v>
      </c>
      <c r="F56" s="60" t="s">
        <v>1319</v>
      </c>
      <c r="G56" s="63" t="s">
        <v>1258</v>
      </c>
      <c r="H56" s="28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4.25" customHeight="1">
      <c r="A57" s="54" t="s">
        <v>1320</v>
      </c>
      <c r="B57" s="23" t="s">
        <v>674</v>
      </c>
      <c r="C57" s="23" t="s">
        <v>1321</v>
      </c>
      <c r="D57" s="55" t="s">
        <v>1322</v>
      </c>
      <c r="E57" s="25" t="s">
        <v>1323</v>
      </c>
      <c r="F57" s="60" t="s">
        <v>1257</v>
      </c>
      <c r="G57" s="63" t="s">
        <v>1258</v>
      </c>
      <c r="H57" s="28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4.25" customHeight="1">
      <c r="A58" s="54" t="s">
        <v>1324</v>
      </c>
      <c r="B58" s="23" t="s">
        <v>674</v>
      </c>
      <c r="C58" s="23" t="s">
        <v>1325</v>
      </c>
      <c r="D58" s="55" t="s">
        <v>1326</v>
      </c>
      <c r="E58" s="25" t="s">
        <v>1327</v>
      </c>
      <c r="F58" s="60" t="s">
        <v>1328</v>
      </c>
      <c r="G58" s="63" t="s">
        <v>1258</v>
      </c>
      <c r="H58" s="28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4.25" customHeight="1">
      <c r="A59" s="54" t="s">
        <v>1329</v>
      </c>
      <c r="B59" s="23" t="s">
        <v>644</v>
      </c>
      <c r="C59" s="23" t="s">
        <v>1330</v>
      </c>
      <c r="D59" s="55" t="s">
        <v>1331</v>
      </c>
      <c r="E59" s="25" t="s">
        <v>1332</v>
      </c>
      <c r="F59" s="60" t="s">
        <v>1333</v>
      </c>
      <c r="G59" s="63" t="s">
        <v>1258</v>
      </c>
      <c r="H59" s="28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4.25" customHeight="1">
      <c r="A60" s="54" t="s">
        <v>1334</v>
      </c>
      <c r="B60" s="68" t="s">
        <v>1335</v>
      </c>
      <c r="C60" s="69" t="s">
        <v>1336</v>
      </c>
      <c r="D60" s="70" t="s">
        <v>1337</v>
      </c>
      <c r="E60" s="26" t="s">
        <v>1338</v>
      </c>
      <c r="F60" s="60" t="s">
        <v>1339</v>
      </c>
      <c r="G60" s="63" t="s">
        <v>1340</v>
      </c>
      <c r="H60" s="28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4.25" customHeight="1">
      <c r="A61" s="54" t="s">
        <v>1341</v>
      </c>
      <c r="B61" s="68" t="s">
        <v>1342</v>
      </c>
      <c r="C61" s="69" t="s">
        <v>1343</v>
      </c>
      <c r="D61" s="70" t="s">
        <v>1344</v>
      </c>
      <c r="E61" s="26" t="s">
        <v>1345</v>
      </c>
      <c r="F61" s="60" t="s">
        <v>1339</v>
      </c>
      <c r="G61" s="63" t="s">
        <v>1346</v>
      </c>
      <c r="H61" s="28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4.25" customHeight="1">
      <c r="A62" s="54" t="s">
        <v>1347</v>
      </c>
      <c r="B62" s="68" t="s">
        <v>1348</v>
      </c>
      <c r="C62" s="69" t="s">
        <v>1349</v>
      </c>
      <c r="D62" s="70" t="s">
        <v>1350</v>
      </c>
      <c r="E62" s="26" t="s">
        <v>1351</v>
      </c>
      <c r="F62" s="60" t="s">
        <v>1339</v>
      </c>
      <c r="G62" s="63" t="s">
        <v>1352</v>
      </c>
      <c r="H62" s="28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4.25" customHeight="1">
      <c r="A63" s="54" t="s">
        <v>1353</v>
      </c>
      <c r="B63" s="68" t="s">
        <v>1354</v>
      </c>
      <c r="C63" s="69" t="s">
        <v>1355</v>
      </c>
      <c r="D63" s="70" t="s">
        <v>1356</v>
      </c>
      <c r="E63" s="26" t="s">
        <v>1357</v>
      </c>
      <c r="F63" s="60" t="s">
        <v>1339</v>
      </c>
      <c r="G63" s="63" t="s">
        <v>1358</v>
      </c>
      <c r="H63" s="28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4.25" customHeight="1">
      <c r="A64" s="54" t="s">
        <v>1359</v>
      </c>
      <c r="B64" s="68" t="s">
        <v>1360</v>
      </c>
      <c r="C64" s="69" t="s">
        <v>1361</v>
      </c>
      <c r="D64" s="70" t="s">
        <v>1362</v>
      </c>
      <c r="E64" s="26" t="s">
        <v>1363</v>
      </c>
      <c r="F64" s="60" t="s">
        <v>1339</v>
      </c>
      <c r="G64" s="63" t="s">
        <v>1364</v>
      </c>
      <c r="H64" s="28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4.25" customHeight="1">
      <c r="A65" s="54" t="s">
        <v>1365</v>
      </c>
      <c r="B65" s="68" t="s">
        <v>1366</v>
      </c>
      <c r="C65" s="69" t="s">
        <v>1367</v>
      </c>
      <c r="D65" s="70" t="s">
        <v>1368</v>
      </c>
      <c r="E65" s="26" t="s">
        <v>1369</v>
      </c>
      <c r="F65" s="60" t="s">
        <v>1339</v>
      </c>
      <c r="G65" s="63" t="s">
        <v>1370</v>
      </c>
      <c r="H65" s="28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4.25" customHeight="1">
      <c r="A66" s="54" t="s">
        <v>1371</v>
      </c>
      <c r="B66" s="68" t="s">
        <v>1372</v>
      </c>
      <c r="C66" s="69" t="s">
        <v>1373</v>
      </c>
      <c r="D66" s="70" t="s">
        <v>1374</v>
      </c>
      <c r="E66" s="26" t="s">
        <v>1375</v>
      </c>
      <c r="F66" s="60" t="s">
        <v>1339</v>
      </c>
      <c r="G66" s="63" t="s">
        <v>1376</v>
      </c>
      <c r="H66" s="28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4.25" customHeight="1">
      <c r="A67" s="54" t="s">
        <v>1377</v>
      </c>
      <c r="B67" s="68" t="s">
        <v>1378</v>
      </c>
      <c r="C67" s="69" t="s">
        <v>1379</v>
      </c>
      <c r="D67" s="70" t="s">
        <v>1380</v>
      </c>
      <c r="E67" s="26" t="s">
        <v>1381</v>
      </c>
      <c r="F67" s="64" t="s">
        <v>1382</v>
      </c>
      <c r="G67" s="63" t="s">
        <v>1383</v>
      </c>
      <c r="H67" s="28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4.25" customHeight="1">
      <c r="A68" s="54" t="s">
        <v>1384</v>
      </c>
      <c r="B68" s="68" t="s">
        <v>1385</v>
      </c>
      <c r="C68" s="69" t="s">
        <v>1386</v>
      </c>
      <c r="D68" s="70" t="s">
        <v>1387</v>
      </c>
      <c r="E68" s="26" t="s">
        <v>1388</v>
      </c>
      <c r="F68" s="60" t="s">
        <v>1339</v>
      </c>
      <c r="G68" s="63" t="s">
        <v>1389</v>
      </c>
      <c r="H68" s="28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4.25" customHeight="1">
      <c r="A69" s="54" t="s">
        <v>1390</v>
      </c>
      <c r="B69" s="68" t="s">
        <v>1391</v>
      </c>
      <c r="C69" s="69" t="s">
        <v>1392</v>
      </c>
      <c r="D69" s="70" t="s">
        <v>1393</v>
      </c>
      <c r="E69" s="26" t="s">
        <v>1394</v>
      </c>
      <c r="F69" s="60" t="s">
        <v>1339</v>
      </c>
      <c r="G69" s="63" t="s">
        <v>1389</v>
      </c>
      <c r="H69" s="28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4.25" customHeight="1">
      <c r="A70" s="54" t="s">
        <v>1395</v>
      </c>
      <c r="B70" s="68" t="s">
        <v>1396</v>
      </c>
      <c r="C70" s="69" t="s">
        <v>1397</v>
      </c>
      <c r="D70" s="70" t="s">
        <v>1398</v>
      </c>
      <c r="E70" s="26" t="s">
        <v>1399</v>
      </c>
      <c r="F70" s="60" t="s">
        <v>1339</v>
      </c>
      <c r="G70" s="63" t="s">
        <v>1400</v>
      </c>
      <c r="H70" s="28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4.25" customHeight="1">
      <c r="A71" s="54" t="s">
        <v>1401</v>
      </c>
      <c r="B71" s="68" t="s">
        <v>1402</v>
      </c>
      <c r="C71" s="69" t="s">
        <v>1403</v>
      </c>
      <c r="D71" s="70" t="s">
        <v>1404</v>
      </c>
      <c r="E71" s="26" t="s">
        <v>1405</v>
      </c>
      <c r="F71" s="60" t="s">
        <v>1339</v>
      </c>
      <c r="G71" s="63" t="s">
        <v>1406</v>
      </c>
      <c r="H71" s="28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4.25" customHeight="1">
      <c r="A72" s="54" t="s">
        <v>1407</v>
      </c>
      <c r="B72" s="68" t="s">
        <v>1408</v>
      </c>
      <c r="C72" s="69" t="s">
        <v>1409</v>
      </c>
      <c r="D72" s="70" t="s">
        <v>1410</v>
      </c>
      <c r="E72" s="26" t="s">
        <v>1411</v>
      </c>
      <c r="F72" s="60" t="s">
        <v>1339</v>
      </c>
      <c r="G72" s="63" t="s">
        <v>1412</v>
      </c>
      <c r="H72" s="28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4.25" customHeight="1">
      <c r="A73" s="54" t="s">
        <v>1413</v>
      </c>
      <c r="B73" s="68" t="s">
        <v>1414</v>
      </c>
      <c r="C73" s="69" t="s">
        <v>1415</v>
      </c>
      <c r="D73" s="70" t="s">
        <v>1416</v>
      </c>
      <c r="E73" s="26" t="s">
        <v>1417</v>
      </c>
      <c r="F73" s="60" t="s">
        <v>1339</v>
      </c>
      <c r="G73" s="63" t="s">
        <v>1418</v>
      </c>
      <c r="H73" s="28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4.25" customHeight="1">
      <c r="A74" s="54" t="s">
        <v>1419</v>
      </c>
      <c r="B74" s="68" t="s">
        <v>1420</v>
      </c>
      <c r="C74" s="69" t="s">
        <v>1421</v>
      </c>
      <c r="D74" s="70" t="s">
        <v>1422</v>
      </c>
      <c r="E74" s="36" t="s">
        <v>1423</v>
      </c>
      <c r="F74" s="60" t="s">
        <v>1424</v>
      </c>
      <c r="G74" s="63" t="s">
        <v>1425</v>
      </c>
      <c r="H74" s="28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4.25" customHeight="1">
      <c r="A75" s="54" t="s">
        <v>1426</v>
      </c>
      <c r="B75" s="68" t="s">
        <v>1427</v>
      </c>
      <c r="C75" s="69" t="s">
        <v>1428</v>
      </c>
      <c r="D75" s="70" t="s">
        <v>1429</v>
      </c>
      <c r="E75" s="26" t="s">
        <v>1430</v>
      </c>
      <c r="F75" s="62" t="s">
        <v>1431</v>
      </c>
      <c r="G75" s="63" t="s">
        <v>1194</v>
      </c>
      <c r="H75" s="28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4.25" customHeight="1">
      <c r="A76" s="54" t="s">
        <v>1432</v>
      </c>
      <c r="B76" s="68" t="s">
        <v>1433</v>
      </c>
      <c r="C76" s="69" t="s">
        <v>1434</v>
      </c>
      <c r="D76" s="70" t="s">
        <v>1435</v>
      </c>
      <c r="E76" s="26" t="s">
        <v>1436</v>
      </c>
      <c r="F76" s="60" t="s">
        <v>1339</v>
      </c>
      <c r="G76" s="63" t="s">
        <v>1437</v>
      </c>
      <c r="H76" s="28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4.25" customHeight="1">
      <c r="A77" s="54" t="s">
        <v>1438</v>
      </c>
      <c r="B77" s="68" t="s">
        <v>1439</v>
      </c>
      <c r="C77" s="69" t="s">
        <v>1440</v>
      </c>
      <c r="D77" s="70" t="s">
        <v>1441</v>
      </c>
      <c r="E77" s="26" t="s">
        <v>1442</v>
      </c>
      <c r="F77" s="71" t="s">
        <v>1443</v>
      </c>
      <c r="G77" s="63" t="s">
        <v>1444</v>
      </c>
      <c r="H77" s="28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4.25" customHeight="1">
      <c r="A78" s="54" t="s">
        <v>1445</v>
      </c>
      <c r="B78" s="68" t="s">
        <v>1446</v>
      </c>
      <c r="C78" s="69" t="s">
        <v>1447</v>
      </c>
      <c r="D78" s="70" t="s">
        <v>1448</v>
      </c>
      <c r="E78" s="26" t="s">
        <v>1449</v>
      </c>
      <c r="F78" s="71" t="s">
        <v>1450</v>
      </c>
      <c r="G78" s="63" t="s">
        <v>1451</v>
      </c>
      <c r="H78" s="28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4.25" customHeight="1">
      <c r="A79" s="54" t="s">
        <v>1452</v>
      </c>
      <c r="B79" s="68" t="s">
        <v>1453</v>
      </c>
      <c r="C79" s="69" t="s">
        <v>1454</v>
      </c>
      <c r="D79" s="70" t="s">
        <v>1455</v>
      </c>
      <c r="E79" s="26" t="s">
        <v>1456</v>
      </c>
      <c r="F79" s="71" t="s">
        <v>1457</v>
      </c>
      <c r="G79" s="63" t="s">
        <v>1458</v>
      </c>
      <c r="H79" s="28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4.25" customHeight="1">
      <c r="A80" s="54" t="s">
        <v>1459</v>
      </c>
      <c r="B80" s="68" t="s">
        <v>1460</v>
      </c>
      <c r="C80" s="69" t="s">
        <v>1461</v>
      </c>
      <c r="D80" s="70" t="s">
        <v>1462</v>
      </c>
      <c r="E80" s="26" t="s">
        <v>1463</v>
      </c>
      <c r="F80" s="71" t="s">
        <v>1464</v>
      </c>
      <c r="G80" s="63" t="s">
        <v>1465</v>
      </c>
      <c r="H80" s="28" t="s">
        <v>1466</v>
      </c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4.25" customHeight="1">
      <c r="A81" s="54" t="s">
        <v>1467</v>
      </c>
      <c r="B81" s="68" t="s">
        <v>1468</v>
      </c>
      <c r="C81" s="69" t="s">
        <v>1469</v>
      </c>
      <c r="D81" s="70" t="s">
        <v>1470</v>
      </c>
      <c r="E81" s="26" t="s">
        <v>1471</v>
      </c>
      <c r="F81" s="62" t="s">
        <v>1472</v>
      </c>
      <c r="G81" s="63" t="s">
        <v>1258</v>
      </c>
      <c r="H81" s="28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4.25" customHeight="1">
      <c r="A82" s="54" t="s">
        <v>1473</v>
      </c>
      <c r="B82" s="68" t="s">
        <v>1474</v>
      </c>
      <c r="C82" s="69" t="s">
        <v>1475</v>
      </c>
      <c r="D82" s="70" t="s">
        <v>599</v>
      </c>
      <c r="E82" s="26" t="s">
        <v>1476</v>
      </c>
      <c r="F82" s="60" t="s">
        <v>1339</v>
      </c>
      <c r="G82" s="63" t="s">
        <v>1477</v>
      </c>
      <c r="H82" s="28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4.25" customHeight="1">
      <c r="A83" s="54" t="s">
        <v>1478</v>
      </c>
      <c r="B83" s="68" t="s">
        <v>1479</v>
      </c>
      <c r="C83" s="69" t="s">
        <v>1480</v>
      </c>
      <c r="D83" s="70" t="s">
        <v>1481</v>
      </c>
      <c r="E83" s="25" t="s">
        <v>1482</v>
      </c>
      <c r="F83" s="60" t="s">
        <v>1339</v>
      </c>
      <c r="G83" s="63" t="s">
        <v>1483</v>
      </c>
      <c r="H83" s="28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4.25" customHeight="1">
      <c r="A84" s="54" t="s">
        <v>1484</v>
      </c>
      <c r="B84" s="23" t="s">
        <v>1485</v>
      </c>
      <c r="C84" s="23" t="s">
        <v>1486</v>
      </c>
      <c r="D84" s="55" t="s">
        <v>1487</v>
      </c>
      <c r="E84" s="25" t="s">
        <v>1488</v>
      </c>
      <c r="F84" s="60" t="s">
        <v>1339</v>
      </c>
      <c r="G84" s="63" t="s">
        <v>1489</v>
      </c>
      <c r="H84" s="28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4.25" customHeight="1">
      <c r="A85" s="54" t="s">
        <v>1490</v>
      </c>
      <c r="B85" s="23" t="s">
        <v>1491</v>
      </c>
      <c r="C85" s="23" t="s">
        <v>1492</v>
      </c>
      <c r="D85" s="55" t="s">
        <v>1493</v>
      </c>
      <c r="E85" s="25" t="s">
        <v>1494</v>
      </c>
      <c r="F85" s="60" t="s">
        <v>1339</v>
      </c>
      <c r="G85" s="63" t="s">
        <v>1495</v>
      </c>
      <c r="H85" s="28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4.25" customHeight="1">
      <c r="A86" s="54" t="s">
        <v>1496</v>
      </c>
      <c r="B86" s="68" t="s">
        <v>1497</v>
      </c>
      <c r="C86" s="23" t="s">
        <v>1498</v>
      </c>
      <c r="D86" s="70" t="s">
        <v>1499</v>
      </c>
      <c r="E86" s="25" t="s">
        <v>1500</v>
      </c>
      <c r="F86" s="60" t="s">
        <v>1339</v>
      </c>
      <c r="G86" s="63" t="s">
        <v>1501</v>
      </c>
      <c r="H86" s="28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4.25" customHeight="1">
      <c r="A87" s="54" t="s">
        <v>1502</v>
      </c>
      <c r="B87" s="68" t="s">
        <v>1503</v>
      </c>
      <c r="C87" s="23" t="s">
        <v>169</v>
      </c>
      <c r="D87" s="70" t="s">
        <v>1504</v>
      </c>
      <c r="E87" s="25" t="s">
        <v>1505</v>
      </c>
      <c r="F87" s="60" t="s">
        <v>1339</v>
      </c>
      <c r="G87" s="63" t="s">
        <v>1506</v>
      </c>
      <c r="H87" s="28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76.5" customHeight="1">
      <c r="A88" s="54" t="s">
        <v>1507</v>
      </c>
      <c r="B88" s="68" t="s">
        <v>1508</v>
      </c>
      <c r="C88" s="72" t="s">
        <v>1509</v>
      </c>
      <c r="D88" s="25" t="s">
        <v>1510</v>
      </c>
      <c r="E88" s="25" t="s">
        <v>1511</v>
      </c>
      <c r="F88" s="60" t="s">
        <v>1339</v>
      </c>
      <c r="G88" s="63" t="s">
        <v>1512</v>
      </c>
      <c r="H88" s="28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4.25" customHeight="1">
      <c r="A89" s="54" t="s">
        <v>1513</v>
      </c>
      <c r="B89" s="68" t="s">
        <v>1514</v>
      </c>
      <c r="C89" s="69" t="s">
        <v>1515</v>
      </c>
      <c r="D89" s="70" t="s">
        <v>1516</v>
      </c>
      <c r="E89" s="36" t="s">
        <v>1517</v>
      </c>
      <c r="F89" s="60" t="s">
        <v>1518</v>
      </c>
      <c r="G89" s="63" t="s">
        <v>1167</v>
      </c>
      <c r="H89" s="28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4.25" customHeight="1">
      <c r="A90" s="54" t="s">
        <v>1519</v>
      </c>
      <c r="B90" s="68" t="s">
        <v>1520</v>
      </c>
      <c r="C90" s="69" t="s">
        <v>1521</v>
      </c>
      <c r="D90" s="70" t="s">
        <v>1522</v>
      </c>
      <c r="E90" s="36" t="s">
        <v>1523</v>
      </c>
      <c r="F90" s="60" t="s">
        <v>1524</v>
      </c>
      <c r="G90" s="63" t="s">
        <v>1167</v>
      </c>
      <c r="H90" s="28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4.25" customHeight="1">
      <c r="A91" s="54" t="s">
        <v>1525</v>
      </c>
      <c r="B91" s="68" t="s">
        <v>1526</v>
      </c>
      <c r="C91" s="69" t="s">
        <v>1527</v>
      </c>
      <c r="D91" s="70" t="s">
        <v>1528</v>
      </c>
      <c r="E91" s="36" t="s">
        <v>1529</v>
      </c>
      <c r="F91" s="60" t="s">
        <v>1530</v>
      </c>
      <c r="G91" s="63" t="s">
        <v>1258</v>
      </c>
      <c r="H91" s="28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4.25" customHeight="1">
      <c r="A92" s="54" t="s">
        <v>1531</v>
      </c>
      <c r="B92" s="68" t="s">
        <v>1532</v>
      </c>
      <c r="C92" s="69" t="s">
        <v>1533</v>
      </c>
      <c r="D92" s="70" t="s">
        <v>1534</v>
      </c>
      <c r="E92" s="36" t="s">
        <v>1535</v>
      </c>
      <c r="F92" s="60" t="s">
        <v>1536</v>
      </c>
      <c r="G92" s="63" t="s">
        <v>1167</v>
      </c>
      <c r="H92" s="28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4.25" customHeight="1">
      <c r="A93" s="54" t="s">
        <v>1537</v>
      </c>
      <c r="B93" s="68" t="s">
        <v>1538</v>
      </c>
      <c r="C93" s="69" t="s">
        <v>1539</v>
      </c>
      <c r="D93" s="25" t="s">
        <v>1540</v>
      </c>
      <c r="E93" s="36" t="s">
        <v>1541</v>
      </c>
      <c r="F93" s="60" t="s">
        <v>1542</v>
      </c>
      <c r="G93" s="63" t="s">
        <v>1167</v>
      </c>
      <c r="H93" s="28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4.25" customHeight="1">
      <c r="A94" s="40"/>
      <c r="B94" s="50"/>
      <c r="C94" s="50"/>
      <c r="D94" s="40"/>
      <c r="E94" s="40"/>
      <c r="F94" s="1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4.25" customHeight="1">
      <c r="A95" s="40"/>
      <c r="B95" s="50"/>
      <c r="C95" s="50"/>
      <c r="D95" s="40"/>
      <c r="E95" s="40"/>
      <c r="F95" s="1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4.25" customHeight="1">
      <c r="A96" s="40"/>
      <c r="B96" s="50"/>
      <c r="C96" s="50"/>
      <c r="D96" s="40"/>
      <c r="E96" s="40"/>
      <c r="F96" s="1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4.25" customHeight="1">
      <c r="A97" s="40"/>
      <c r="B97" s="50"/>
      <c r="C97" s="50"/>
      <c r="D97" s="40"/>
      <c r="E97" s="40"/>
      <c r="F97" s="1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4.25" customHeight="1">
      <c r="A98" s="40"/>
      <c r="B98" s="50"/>
      <c r="C98" s="50"/>
      <c r="D98" s="40"/>
      <c r="E98" s="40"/>
      <c r="F98" s="1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4.25" customHeight="1">
      <c r="A99" s="40"/>
      <c r="B99" s="50"/>
      <c r="C99" s="50"/>
      <c r="D99" s="40"/>
      <c r="E99" s="40"/>
      <c r="F99" s="1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4.25" customHeight="1">
      <c r="A100" s="40"/>
      <c r="B100" s="50"/>
      <c r="C100" s="50"/>
      <c r="D100" s="40"/>
      <c r="E100" s="40"/>
      <c r="F100" s="1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4.25" customHeight="1">
      <c r="A101" s="40"/>
      <c r="B101" s="50"/>
      <c r="C101" s="50"/>
      <c r="D101" s="40"/>
      <c r="E101" s="40"/>
      <c r="F101" s="1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4.25" customHeight="1">
      <c r="A102" s="40"/>
      <c r="B102" s="50"/>
      <c r="C102" s="50"/>
      <c r="D102" s="40"/>
      <c r="E102" s="40"/>
      <c r="F102" s="1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4.25" customHeight="1">
      <c r="A103" s="40"/>
      <c r="B103" s="50"/>
      <c r="C103" s="50"/>
      <c r="D103" s="40"/>
      <c r="E103" s="40"/>
      <c r="F103" s="1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4.25" customHeight="1">
      <c r="A104" s="40"/>
      <c r="B104" s="50"/>
      <c r="C104" s="50"/>
      <c r="D104" s="40"/>
      <c r="E104" s="40"/>
      <c r="F104" s="1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4.25" customHeight="1">
      <c r="A105" s="40"/>
      <c r="B105" s="50"/>
      <c r="C105" s="50"/>
      <c r="D105" s="40"/>
      <c r="E105" s="40"/>
      <c r="F105" s="1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4.25" customHeight="1">
      <c r="A106" s="40"/>
      <c r="B106" s="50"/>
      <c r="C106" s="50"/>
      <c r="D106" s="40"/>
      <c r="E106" s="40"/>
      <c r="F106" s="1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4.25" customHeight="1">
      <c r="A107" s="40"/>
      <c r="B107" s="50"/>
      <c r="C107" s="50"/>
      <c r="D107" s="40"/>
      <c r="E107" s="40"/>
      <c r="F107" s="1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4.25" customHeight="1">
      <c r="A108" s="40"/>
      <c r="B108" s="50"/>
      <c r="C108" s="50"/>
      <c r="D108" s="40"/>
      <c r="E108" s="40"/>
      <c r="F108" s="1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4.25" customHeight="1">
      <c r="A109" s="40"/>
      <c r="B109" s="50"/>
      <c r="C109" s="50"/>
      <c r="D109" s="40"/>
      <c r="E109" s="40"/>
      <c r="F109" s="1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4.25" customHeight="1">
      <c r="A110" s="40"/>
      <c r="B110" s="50"/>
      <c r="C110" s="50"/>
      <c r="D110" s="40"/>
      <c r="E110" s="40"/>
      <c r="F110" s="1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4.25" customHeight="1">
      <c r="A111" s="40"/>
      <c r="B111" s="50"/>
      <c r="C111" s="50"/>
      <c r="D111" s="40"/>
      <c r="E111" s="40"/>
      <c r="F111" s="1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4.25" customHeight="1">
      <c r="A112" s="40"/>
      <c r="B112" s="50"/>
      <c r="C112" s="50"/>
      <c r="D112" s="40"/>
      <c r="E112" s="40"/>
      <c r="F112" s="1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4.25" customHeight="1">
      <c r="A113" s="40"/>
      <c r="B113" s="50"/>
      <c r="C113" s="50"/>
      <c r="D113" s="40"/>
      <c r="E113" s="40"/>
      <c r="F113" s="1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4.25" customHeight="1">
      <c r="A114" s="40"/>
      <c r="B114" s="50"/>
      <c r="C114" s="50"/>
      <c r="D114" s="40"/>
      <c r="E114" s="40"/>
      <c r="F114" s="1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4.25" customHeight="1">
      <c r="A115" s="40"/>
      <c r="B115" s="50"/>
      <c r="C115" s="50"/>
      <c r="D115" s="40"/>
      <c r="E115" s="40"/>
      <c r="F115" s="1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4.25" customHeight="1">
      <c r="A116" s="40"/>
      <c r="B116" s="50"/>
      <c r="C116" s="50"/>
      <c r="D116" s="40"/>
      <c r="E116" s="40"/>
      <c r="F116" s="1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4.25" customHeight="1">
      <c r="A117" s="40"/>
      <c r="B117" s="50"/>
      <c r="C117" s="50"/>
      <c r="D117" s="40"/>
      <c r="E117" s="40"/>
      <c r="F117" s="1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4.25" customHeight="1">
      <c r="A118" s="40"/>
      <c r="B118" s="50"/>
      <c r="C118" s="50"/>
      <c r="D118" s="40"/>
      <c r="E118" s="40"/>
      <c r="F118" s="1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4.25" customHeight="1">
      <c r="A119" s="40"/>
      <c r="B119" s="50"/>
      <c r="C119" s="50"/>
      <c r="D119" s="40"/>
      <c r="E119" s="40"/>
      <c r="F119" s="1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4.25" customHeight="1">
      <c r="A120" s="40"/>
      <c r="B120" s="50"/>
      <c r="C120" s="50"/>
      <c r="D120" s="40"/>
      <c r="E120" s="40"/>
      <c r="F120" s="1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4.25" customHeight="1">
      <c r="A121" s="40"/>
      <c r="B121" s="50"/>
      <c r="C121" s="50"/>
      <c r="D121" s="40"/>
      <c r="E121" s="40"/>
      <c r="F121" s="1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4.25" customHeight="1">
      <c r="A122" s="40"/>
      <c r="B122" s="50"/>
      <c r="C122" s="50"/>
      <c r="D122" s="40"/>
      <c r="E122" s="40"/>
      <c r="F122" s="1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4.25" customHeight="1">
      <c r="A123" s="40"/>
      <c r="B123" s="50"/>
      <c r="C123" s="50"/>
      <c r="D123" s="40"/>
      <c r="E123" s="40"/>
      <c r="F123" s="1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4.25" customHeight="1">
      <c r="A124" s="40"/>
      <c r="B124" s="50"/>
      <c r="C124" s="50"/>
      <c r="D124" s="40"/>
      <c r="E124" s="40"/>
      <c r="F124" s="1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4.25" customHeight="1">
      <c r="A125" s="40"/>
      <c r="B125" s="50"/>
      <c r="C125" s="50"/>
      <c r="D125" s="40"/>
      <c r="E125" s="40"/>
      <c r="F125" s="1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4.25" customHeight="1">
      <c r="A126" s="40"/>
      <c r="B126" s="50"/>
      <c r="C126" s="50"/>
      <c r="D126" s="40"/>
      <c r="E126" s="40"/>
      <c r="F126" s="1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4.25" customHeight="1">
      <c r="A127" s="40"/>
      <c r="B127" s="50"/>
      <c r="C127" s="50"/>
      <c r="D127" s="40"/>
      <c r="E127" s="40"/>
      <c r="F127" s="1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4.25" customHeight="1">
      <c r="A128" s="40"/>
      <c r="B128" s="50"/>
      <c r="C128" s="50"/>
      <c r="D128" s="40"/>
      <c r="E128" s="40"/>
      <c r="F128" s="1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4.25" customHeight="1">
      <c r="A129" s="40"/>
      <c r="B129" s="50"/>
      <c r="C129" s="50"/>
      <c r="D129" s="40"/>
      <c r="E129" s="40"/>
      <c r="F129" s="1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4.25" customHeight="1">
      <c r="A130" s="40"/>
      <c r="B130" s="50"/>
      <c r="C130" s="50"/>
      <c r="D130" s="40"/>
      <c r="E130" s="40"/>
      <c r="F130" s="1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4.25" customHeight="1">
      <c r="A131" s="40"/>
      <c r="B131" s="50"/>
      <c r="C131" s="50"/>
      <c r="D131" s="40"/>
      <c r="E131" s="40"/>
      <c r="F131" s="1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4.25" customHeight="1">
      <c r="A132" s="40"/>
      <c r="B132" s="50"/>
      <c r="C132" s="50"/>
      <c r="D132" s="40"/>
      <c r="E132" s="40"/>
      <c r="F132" s="1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4.25" customHeight="1">
      <c r="A133" s="40"/>
      <c r="B133" s="50"/>
      <c r="C133" s="50"/>
      <c r="D133" s="40"/>
      <c r="E133" s="40"/>
      <c r="F133" s="1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4.25" customHeight="1">
      <c r="A134" s="40"/>
      <c r="B134" s="50"/>
      <c r="C134" s="50"/>
      <c r="D134" s="40"/>
      <c r="E134" s="40"/>
      <c r="F134" s="1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4.25" customHeight="1">
      <c r="A135" s="40"/>
      <c r="B135" s="50"/>
      <c r="C135" s="50"/>
      <c r="D135" s="40"/>
      <c r="E135" s="40"/>
      <c r="F135" s="1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4.25" customHeight="1">
      <c r="A136" s="40"/>
      <c r="B136" s="50"/>
      <c r="C136" s="50"/>
      <c r="D136" s="40"/>
      <c r="E136" s="40"/>
      <c r="F136" s="1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4.25" customHeight="1">
      <c r="A137" s="40"/>
      <c r="B137" s="50"/>
      <c r="C137" s="50"/>
      <c r="D137" s="40"/>
      <c r="E137" s="40"/>
      <c r="F137" s="1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4.25" customHeight="1">
      <c r="A138" s="40"/>
      <c r="B138" s="50"/>
      <c r="C138" s="50"/>
      <c r="D138" s="40"/>
      <c r="E138" s="40"/>
      <c r="F138" s="1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4.25" customHeight="1">
      <c r="A139" s="40"/>
      <c r="B139" s="50"/>
      <c r="C139" s="50"/>
      <c r="D139" s="40"/>
      <c r="E139" s="40"/>
      <c r="F139" s="1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4.25" customHeight="1">
      <c r="A140" s="40"/>
      <c r="B140" s="50"/>
      <c r="C140" s="50"/>
      <c r="D140" s="40"/>
      <c r="E140" s="40"/>
      <c r="F140" s="1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4.25" customHeight="1">
      <c r="A141" s="40"/>
      <c r="B141" s="50"/>
      <c r="C141" s="50"/>
      <c r="D141" s="40"/>
      <c r="E141" s="40"/>
      <c r="F141" s="1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4.25" customHeight="1">
      <c r="A142" s="40"/>
      <c r="B142" s="50"/>
      <c r="C142" s="50"/>
      <c r="D142" s="40"/>
      <c r="E142" s="40"/>
      <c r="F142" s="1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4.25" customHeight="1">
      <c r="A143" s="40"/>
      <c r="B143" s="50"/>
      <c r="C143" s="50"/>
      <c r="D143" s="40"/>
      <c r="E143" s="40"/>
      <c r="F143" s="1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4.25" customHeight="1">
      <c r="A144" s="40"/>
      <c r="B144" s="50"/>
      <c r="C144" s="50"/>
      <c r="D144" s="40"/>
      <c r="E144" s="40"/>
      <c r="F144" s="1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4.25" customHeight="1">
      <c r="A145" s="40"/>
      <c r="B145" s="50"/>
      <c r="C145" s="50"/>
      <c r="D145" s="40"/>
      <c r="E145" s="40"/>
      <c r="F145" s="1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4.25" customHeight="1">
      <c r="A146" s="40"/>
      <c r="B146" s="50"/>
      <c r="C146" s="50"/>
      <c r="D146" s="40"/>
      <c r="E146" s="40"/>
      <c r="F146" s="1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4.25" customHeight="1">
      <c r="A147" s="40"/>
      <c r="B147" s="50"/>
      <c r="C147" s="50"/>
      <c r="D147" s="40"/>
      <c r="E147" s="40"/>
      <c r="F147" s="1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4.25" customHeight="1">
      <c r="A148" s="40"/>
      <c r="B148" s="50"/>
      <c r="C148" s="50"/>
      <c r="D148" s="40"/>
      <c r="E148" s="40"/>
      <c r="F148" s="1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4.25" customHeight="1">
      <c r="A149" s="40"/>
      <c r="B149" s="50"/>
      <c r="C149" s="50"/>
      <c r="D149" s="40"/>
      <c r="E149" s="40"/>
      <c r="F149" s="1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4.25" customHeight="1">
      <c r="A150" s="40"/>
      <c r="B150" s="50"/>
      <c r="C150" s="50"/>
      <c r="D150" s="40"/>
      <c r="E150" s="40"/>
      <c r="F150" s="1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4.25" customHeight="1">
      <c r="A151" s="40"/>
      <c r="B151" s="50"/>
      <c r="C151" s="50"/>
      <c r="D151" s="40"/>
      <c r="E151" s="40"/>
      <c r="F151" s="1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4.25" customHeight="1">
      <c r="A152" s="40"/>
      <c r="B152" s="50"/>
      <c r="C152" s="50"/>
      <c r="D152" s="40"/>
      <c r="E152" s="40"/>
      <c r="F152" s="1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4.25" customHeight="1">
      <c r="A153" s="40"/>
      <c r="B153" s="50"/>
      <c r="C153" s="50"/>
      <c r="D153" s="40"/>
      <c r="E153" s="40"/>
      <c r="F153" s="1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4.25" customHeight="1">
      <c r="A154" s="40"/>
      <c r="B154" s="50"/>
      <c r="C154" s="50"/>
      <c r="D154" s="40"/>
      <c r="E154" s="40"/>
      <c r="F154" s="1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4.25" customHeight="1">
      <c r="A155" s="40"/>
      <c r="B155" s="50"/>
      <c r="C155" s="50"/>
      <c r="D155" s="40"/>
      <c r="E155" s="40"/>
      <c r="F155" s="1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4.25" customHeight="1">
      <c r="A156" s="40"/>
      <c r="B156" s="50"/>
      <c r="C156" s="50"/>
      <c r="D156" s="40"/>
      <c r="E156" s="40"/>
      <c r="F156" s="1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4.25" customHeight="1">
      <c r="A157" s="40"/>
      <c r="B157" s="50"/>
      <c r="C157" s="50"/>
      <c r="D157" s="40"/>
      <c r="E157" s="40"/>
      <c r="F157" s="1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4.25" customHeight="1">
      <c r="A158" s="40"/>
      <c r="B158" s="50"/>
      <c r="C158" s="50"/>
      <c r="D158" s="40"/>
      <c r="E158" s="40"/>
      <c r="F158" s="1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4.25" customHeight="1">
      <c r="A159" s="40"/>
      <c r="B159" s="50"/>
      <c r="C159" s="50"/>
      <c r="D159" s="40"/>
      <c r="E159" s="40"/>
      <c r="F159" s="1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4.25" customHeight="1">
      <c r="A160" s="40"/>
      <c r="B160" s="50"/>
      <c r="C160" s="50"/>
      <c r="D160" s="40"/>
      <c r="E160" s="40"/>
      <c r="F160" s="1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4.25" customHeight="1">
      <c r="A161" s="40"/>
      <c r="B161" s="50"/>
      <c r="C161" s="50"/>
      <c r="D161" s="40"/>
      <c r="E161" s="40"/>
      <c r="F161" s="1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4.25" customHeight="1">
      <c r="A162" s="40"/>
      <c r="B162" s="50"/>
      <c r="C162" s="50"/>
      <c r="D162" s="40"/>
      <c r="E162" s="40"/>
      <c r="F162" s="1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4.25" customHeight="1">
      <c r="A163" s="40"/>
      <c r="B163" s="50"/>
      <c r="C163" s="50"/>
      <c r="D163" s="40"/>
      <c r="E163" s="40"/>
      <c r="F163" s="1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4.25" customHeight="1">
      <c r="A164" s="40"/>
      <c r="B164" s="50"/>
      <c r="C164" s="50"/>
      <c r="D164" s="40"/>
      <c r="E164" s="40"/>
      <c r="F164" s="1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4.25" customHeight="1">
      <c r="A165" s="40"/>
      <c r="B165" s="50"/>
      <c r="C165" s="50"/>
      <c r="D165" s="40"/>
      <c r="E165" s="40"/>
      <c r="F165" s="1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4.25" customHeight="1">
      <c r="A166" s="40"/>
      <c r="B166" s="50"/>
      <c r="C166" s="50"/>
      <c r="D166" s="40"/>
      <c r="E166" s="40"/>
      <c r="F166" s="1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4.25" customHeight="1">
      <c r="A167" s="40"/>
      <c r="B167" s="50"/>
      <c r="C167" s="50"/>
      <c r="D167" s="40"/>
      <c r="E167" s="40"/>
      <c r="F167" s="1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4.25" customHeight="1">
      <c r="A168" s="40"/>
      <c r="B168" s="50"/>
      <c r="C168" s="50"/>
      <c r="D168" s="40"/>
      <c r="E168" s="40"/>
      <c r="F168" s="1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4.25" customHeight="1">
      <c r="A169" s="40"/>
      <c r="B169" s="50"/>
      <c r="C169" s="50"/>
      <c r="D169" s="40"/>
      <c r="E169" s="40"/>
      <c r="F169" s="1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4.25" customHeight="1">
      <c r="A170" s="40"/>
      <c r="B170" s="50"/>
      <c r="C170" s="50"/>
      <c r="D170" s="40"/>
      <c r="E170" s="40"/>
      <c r="F170" s="1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4.25" customHeight="1">
      <c r="A171" s="40"/>
      <c r="B171" s="50"/>
      <c r="C171" s="50"/>
      <c r="D171" s="40"/>
      <c r="E171" s="40"/>
      <c r="F171" s="1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4.25" customHeight="1">
      <c r="A172" s="40"/>
      <c r="B172" s="50"/>
      <c r="C172" s="50"/>
      <c r="D172" s="40"/>
      <c r="E172" s="40"/>
      <c r="F172" s="1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4.25" customHeight="1">
      <c r="A173" s="40"/>
      <c r="B173" s="50"/>
      <c r="C173" s="50"/>
      <c r="D173" s="40"/>
      <c r="E173" s="40"/>
      <c r="F173" s="1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4.25" customHeight="1">
      <c r="A174" s="40"/>
      <c r="B174" s="50"/>
      <c r="C174" s="50"/>
      <c r="D174" s="40"/>
      <c r="E174" s="40"/>
      <c r="F174" s="1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4.25" customHeight="1">
      <c r="A175" s="40"/>
      <c r="B175" s="50"/>
      <c r="C175" s="50"/>
      <c r="D175" s="40"/>
      <c r="E175" s="40"/>
      <c r="F175" s="1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4.25" customHeight="1">
      <c r="A176" s="40"/>
      <c r="B176" s="50"/>
      <c r="C176" s="50"/>
      <c r="D176" s="40"/>
      <c r="E176" s="40"/>
      <c r="F176" s="1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4.25" customHeight="1">
      <c r="A177" s="40"/>
      <c r="B177" s="50"/>
      <c r="C177" s="50"/>
      <c r="D177" s="40"/>
      <c r="E177" s="40"/>
      <c r="F177" s="1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4.25" customHeight="1">
      <c r="A178" s="40"/>
      <c r="B178" s="50"/>
      <c r="C178" s="50"/>
      <c r="D178" s="40"/>
      <c r="E178" s="40"/>
      <c r="F178" s="1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4.25" customHeight="1">
      <c r="A179" s="40"/>
      <c r="B179" s="50"/>
      <c r="C179" s="50"/>
      <c r="D179" s="40"/>
      <c r="E179" s="40"/>
      <c r="F179" s="1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4.25" customHeight="1">
      <c r="A180" s="40"/>
      <c r="B180" s="50"/>
      <c r="C180" s="50"/>
      <c r="D180" s="40"/>
      <c r="E180" s="40"/>
      <c r="F180" s="1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4.25" customHeight="1">
      <c r="A181" s="40"/>
      <c r="B181" s="50"/>
      <c r="C181" s="50"/>
      <c r="D181" s="40"/>
      <c r="E181" s="40"/>
      <c r="F181" s="1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4.25" customHeight="1">
      <c r="A182" s="40"/>
      <c r="B182" s="50"/>
      <c r="C182" s="50"/>
      <c r="D182" s="40"/>
      <c r="E182" s="40"/>
      <c r="F182" s="1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4.25" customHeight="1">
      <c r="A183" s="40"/>
      <c r="B183" s="50"/>
      <c r="C183" s="50"/>
      <c r="D183" s="40"/>
      <c r="E183" s="40"/>
      <c r="F183" s="1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4.25" customHeight="1">
      <c r="A184" s="40"/>
      <c r="B184" s="50"/>
      <c r="C184" s="50"/>
      <c r="D184" s="40"/>
      <c r="E184" s="40"/>
      <c r="F184" s="1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4.25" customHeight="1">
      <c r="A185" s="40"/>
      <c r="B185" s="50"/>
      <c r="C185" s="50"/>
      <c r="D185" s="40"/>
      <c r="E185" s="40"/>
      <c r="F185" s="1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4.25" customHeight="1">
      <c r="A186" s="40"/>
      <c r="B186" s="50"/>
      <c r="C186" s="50"/>
      <c r="D186" s="40"/>
      <c r="E186" s="40"/>
      <c r="F186" s="1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4.25" customHeight="1">
      <c r="A187" s="40"/>
      <c r="B187" s="50"/>
      <c r="C187" s="50"/>
      <c r="D187" s="40"/>
      <c r="E187" s="40"/>
      <c r="F187" s="1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4.25" customHeight="1">
      <c r="A188" s="40"/>
      <c r="B188" s="50"/>
      <c r="C188" s="50"/>
      <c r="D188" s="40"/>
      <c r="E188" s="40"/>
      <c r="F188" s="1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4.25" customHeight="1">
      <c r="A189" s="40"/>
      <c r="B189" s="50"/>
      <c r="C189" s="50"/>
      <c r="D189" s="40"/>
      <c r="E189" s="40"/>
      <c r="F189" s="1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4.25" customHeight="1">
      <c r="A190" s="40"/>
      <c r="B190" s="50"/>
      <c r="C190" s="50"/>
      <c r="D190" s="40"/>
      <c r="E190" s="40"/>
      <c r="F190" s="1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4.25" customHeight="1">
      <c r="A191" s="40"/>
      <c r="B191" s="50"/>
      <c r="C191" s="50"/>
      <c r="D191" s="40"/>
      <c r="E191" s="40"/>
      <c r="F191" s="1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4.25" customHeight="1">
      <c r="A192" s="40"/>
      <c r="B192" s="50"/>
      <c r="C192" s="50"/>
      <c r="D192" s="40"/>
      <c r="E192" s="40"/>
      <c r="F192" s="1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4.25" customHeight="1">
      <c r="A193" s="40"/>
      <c r="B193" s="50"/>
      <c r="C193" s="50"/>
      <c r="D193" s="40"/>
      <c r="E193" s="40"/>
      <c r="F193" s="1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4.25" customHeight="1">
      <c r="A194" s="40"/>
      <c r="B194" s="50"/>
      <c r="C194" s="50"/>
      <c r="D194" s="40"/>
      <c r="E194" s="40"/>
      <c r="F194" s="1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4.25" customHeight="1">
      <c r="A195" s="40"/>
      <c r="B195" s="50"/>
      <c r="C195" s="50"/>
      <c r="D195" s="40"/>
      <c r="E195" s="40"/>
      <c r="F195" s="1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4.25" customHeight="1">
      <c r="A196" s="40"/>
      <c r="B196" s="50"/>
      <c r="C196" s="50"/>
      <c r="D196" s="40"/>
      <c r="E196" s="40"/>
      <c r="F196" s="1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4.25" customHeight="1">
      <c r="A197" s="40"/>
      <c r="B197" s="50"/>
      <c r="C197" s="50"/>
      <c r="D197" s="40"/>
      <c r="E197" s="40"/>
      <c r="F197" s="1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4.25" customHeight="1">
      <c r="A198" s="40"/>
      <c r="B198" s="50"/>
      <c r="C198" s="50"/>
      <c r="D198" s="40"/>
      <c r="E198" s="40"/>
      <c r="F198" s="1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4.25" customHeight="1">
      <c r="A199" s="40"/>
      <c r="B199" s="50"/>
      <c r="C199" s="50"/>
      <c r="D199" s="40"/>
      <c r="E199" s="40"/>
      <c r="F199" s="1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4.25" customHeight="1">
      <c r="A200" s="40"/>
      <c r="B200" s="50"/>
      <c r="C200" s="50"/>
      <c r="D200" s="40"/>
      <c r="E200" s="40"/>
      <c r="F200" s="1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4.25" customHeight="1">
      <c r="A201" s="40"/>
      <c r="B201" s="50"/>
      <c r="C201" s="50"/>
      <c r="D201" s="40"/>
      <c r="E201" s="40"/>
      <c r="F201" s="1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4.25" customHeight="1">
      <c r="A202" s="40"/>
      <c r="B202" s="50"/>
      <c r="C202" s="50"/>
      <c r="D202" s="40"/>
      <c r="E202" s="40"/>
      <c r="F202" s="1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4.25" customHeight="1">
      <c r="A203" s="40"/>
      <c r="B203" s="50"/>
      <c r="C203" s="50"/>
      <c r="D203" s="40"/>
      <c r="E203" s="40"/>
      <c r="F203" s="1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4.25" customHeight="1">
      <c r="A204" s="40"/>
      <c r="B204" s="50"/>
      <c r="C204" s="50"/>
      <c r="D204" s="40"/>
      <c r="E204" s="40"/>
      <c r="F204" s="1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4.25" customHeight="1">
      <c r="A205" s="40"/>
      <c r="B205" s="50"/>
      <c r="C205" s="50"/>
      <c r="D205" s="40"/>
      <c r="E205" s="40"/>
      <c r="F205" s="1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4.25" customHeight="1">
      <c r="A206" s="40"/>
      <c r="B206" s="50"/>
      <c r="C206" s="50"/>
      <c r="D206" s="40"/>
      <c r="E206" s="40"/>
      <c r="F206" s="1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4.25" customHeight="1">
      <c r="A207" s="40"/>
      <c r="B207" s="50"/>
      <c r="C207" s="50"/>
      <c r="D207" s="40"/>
      <c r="E207" s="40"/>
      <c r="F207" s="1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4.25" customHeight="1">
      <c r="A208" s="40"/>
      <c r="B208" s="50"/>
      <c r="C208" s="50"/>
      <c r="D208" s="40"/>
      <c r="E208" s="40"/>
      <c r="F208" s="1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4.25" customHeight="1">
      <c r="A209" s="40"/>
      <c r="B209" s="50"/>
      <c r="C209" s="50"/>
      <c r="D209" s="40"/>
      <c r="E209" s="40"/>
      <c r="F209" s="1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4.25" customHeight="1">
      <c r="A210" s="40"/>
      <c r="B210" s="50"/>
      <c r="C210" s="50"/>
      <c r="D210" s="40"/>
      <c r="E210" s="40"/>
      <c r="F210" s="1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4.25" customHeight="1">
      <c r="A211" s="40"/>
      <c r="B211" s="50"/>
      <c r="C211" s="50"/>
      <c r="D211" s="40"/>
      <c r="E211" s="40"/>
      <c r="F211" s="1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4.25" customHeight="1">
      <c r="A212" s="40"/>
      <c r="B212" s="50"/>
      <c r="C212" s="50"/>
      <c r="D212" s="40"/>
      <c r="E212" s="40"/>
      <c r="F212" s="1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4.25" customHeight="1">
      <c r="A213" s="40"/>
      <c r="B213" s="50"/>
      <c r="C213" s="50"/>
      <c r="D213" s="40"/>
      <c r="E213" s="40"/>
      <c r="F213" s="1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4.25" customHeight="1">
      <c r="A214" s="40"/>
      <c r="B214" s="50"/>
      <c r="C214" s="50"/>
      <c r="D214" s="40"/>
      <c r="E214" s="40"/>
      <c r="F214" s="1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4.25" customHeight="1">
      <c r="A215" s="40"/>
      <c r="B215" s="50"/>
      <c r="C215" s="50"/>
      <c r="D215" s="40"/>
      <c r="E215" s="40"/>
      <c r="F215" s="1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4.25" customHeight="1">
      <c r="A216" s="40"/>
      <c r="B216" s="50"/>
      <c r="C216" s="50"/>
      <c r="D216" s="40"/>
      <c r="E216" s="40"/>
      <c r="F216" s="1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4.25" customHeight="1">
      <c r="A217" s="40"/>
      <c r="B217" s="50"/>
      <c r="C217" s="50"/>
      <c r="D217" s="40"/>
      <c r="E217" s="40"/>
      <c r="F217" s="1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4.25" customHeight="1">
      <c r="A218" s="40"/>
      <c r="B218" s="50"/>
      <c r="C218" s="50"/>
      <c r="D218" s="40"/>
      <c r="E218" s="40"/>
      <c r="F218" s="1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4.25" customHeight="1">
      <c r="A219" s="40"/>
      <c r="B219" s="50"/>
      <c r="C219" s="50"/>
      <c r="D219" s="40"/>
      <c r="E219" s="40"/>
      <c r="F219" s="1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4.25" customHeight="1">
      <c r="A220" s="40"/>
      <c r="B220" s="50"/>
      <c r="C220" s="50"/>
      <c r="D220" s="40"/>
      <c r="E220" s="40"/>
      <c r="F220" s="1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4.25" customHeight="1">
      <c r="A221" s="40"/>
      <c r="B221" s="50"/>
      <c r="C221" s="50"/>
      <c r="D221" s="40"/>
      <c r="E221" s="40"/>
      <c r="F221" s="1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4.25" customHeight="1">
      <c r="A222" s="40"/>
      <c r="B222" s="50"/>
      <c r="C222" s="50"/>
      <c r="D222" s="40"/>
      <c r="E222" s="40"/>
      <c r="F222" s="1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4.25" customHeight="1">
      <c r="A223" s="40"/>
      <c r="B223" s="50"/>
      <c r="C223" s="50"/>
      <c r="D223" s="40"/>
      <c r="E223" s="40"/>
      <c r="F223" s="1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4.25" customHeight="1">
      <c r="A224" s="40"/>
      <c r="B224" s="50"/>
      <c r="C224" s="50"/>
      <c r="D224" s="40"/>
      <c r="E224" s="40"/>
      <c r="F224" s="1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4.25" customHeight="1">
      <c r="A225" s="40"/>
      <c r="B225" s="50"/>
      <c r="C225" s="50"/>
      <c r="D225" s="40"/>
      <c r="E225" s="40"/>
      <c r="F225" s="1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4.25" customHeight="1">
      <c r="A226" s="40"/>
      <c r="B226" s="50"/>
      <c r="C226" s="50"/>
      <c r="D226" s="40"/>
      <c r="E226" s="40"/>
      <c r="F226" s="1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4.25" customHeight="1">
      <c r="A227" s="40"/>
      <c r="B227" s="50"/>
      <c r="C227" s="50"/>
      <c r="D227" s="40"/>
      <c r="E227" s="40"/>
      <c r="F227" s="1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4.25" customHeight="1">
      <c r="A228" s="40"/>
      <c r="B228" s="50"/>
      <c r="C228" s="50"/>
      <c r="D228" s="40"/>
      <c r="E228" s="40"/>
      <c r="F228" s="1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4.25" customHeight="1">
      <c r="A229" s="40"/>
      <c r="B229" s="50"/>
      <c r="C229" s="50"/>
      <c r="D229" s="40"/>
      <c r="E229" s="40"/>
      <c r="F229" s="1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4.25" customHeight="1">
      <c r="A230" s="40"/>
      <c r="B230" s="50"/>
      <c r="C230" s="50"/>
      <c r="D230" s="40"/>
      <c r="E230" s="40"/>
      <c r="F230" s="1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4.25" customHeight="1">
      <c r="A231" s="40"/>
      <c r="B231" s="50"/>
      <c r="C231" s="50"/>
      <c r="D231" s="40"/>
      <c r="E231" s="40"/>
      <c r="F231" s="1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4.25" customHeight="1">
      <c r="A232" s="40"/>
      <c r="B232" s="50"/>
      <c r="C232" s="50"/>
      <c r="D232" s="40"/>
      <c r="E232" s="40"/>
      <c r="F232" s="1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4.25" customHeight="1">
      <c r="A233" s="40"/>
      <c r="B233" s="50"/>
      <c r="C233" s="50"/>
      <c r="D233" s="40"/>
      <c r="E233" s="40"/>
      <c r="F233" s="1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4.25" customHeight="1">
      <c r="A234" s="40"/>
      <c r="B234" s="50"/>
      <c r="C234" s="50"/>
      <c r="D234" s="40"/>
      <c r="E234" s="40"/>
      <c r="F234" s="1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4.25" customHeight="1">
      <c r="A235" s="40"/>
      <c r="B235" s="50"/>
      <c r="C235" s="50"/>
      <c r="D235" s="40"/>
      <c r="E235" s="40"/>
      <c r="F235" s="1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4.25" customHeight="1">
      <c r="A236" s="40"/>
      <c r="B236" s="50"/>
      <c r="C236" s="50"/>
      <c r="D236" s="40"/>
      <c r="E236" s="40"/>
      <c r="F236" s="1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4.25" customHeight="1">
      <c r="A237" s="40"/>
      <c r="B237" s="50"/>
      <c r="C237" s="50"/>
      <c r="D237" s="40"/>
      <c r="E237" s="40"/>
      <c r="F237" s="1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4.25" customHeight="1">
      <c r="A238" s="40"/>
      <c r="B238" s="50"/>
      <c r="C238" s="50"/>
      <c r="D238" s="40"/>
      <c r="E238" s="40"/>
      <c r="F238" s="1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4.25" customHeight="1">
      <c r="A239" s="40"/>
      <c r="B239" s="50"/>
      <c r="C239" s="50"/>
      <c r="D239" s="40"/>
      <c r="E239" s="40"/>
      <c r="F239" s="1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4.25" customHeight="1">
      <c r="A240" s="40"/>
      <c r="B240" s="50"/>
      <c r="C240" s="50"/>
      <c r="D240" s="40"/>
      <c r="E240" s="40"/>
      <c r="F240" s="1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4.25" customHeight="1">
      <c r="A241" s="40"/>
      <c r="B241" s="50"/>
      <c r="C241" s="50"/>
      <c r="D241" s="40"/>
      <c r="E241" s="40"/>
      <c r="F241" s="1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4.25" customHeight="1">
      <c r="A242" s="40"/>
      <c r="B242" s="50"/>
      <c r="C242" s="50"/>
      <c r="D242" s="40"/>
      <c r="E242" s="40"/>
      <c r="F242" s="1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4.25" customHeight="1">
      <c r="A243" s="40"/>
      <c r="B243" s="50"/>
      <c r="C243" s="50"/>
      <c r="D243" s="40"/>
      <c r="E243" s="40"/>
      <c r="F243" s="1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4.25" customHeight="1">
      <c r="A244" s="40"/>
      <c r="B244" s="50"/>
      <c r="C244" s="50"/>
      <c r="D244" s="40"/>
      <c r="E244" s="40"/>
      <c r="F244" s="1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4.25" customHeight="1">
      <c r="A245" s="40"/>
      <c r="B245" s="50"/>
      <c r="C245" s="50"/>
      <c r="D245" s="40"/>
      <c r="E245" s="40"/>
      <c r="F245" s="1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4.25" customHeight="1">
      <c r="A246" s="40"/>
      <c r="B246" s="50"/>
      <c r="C246" s="50"/>
      <c r="D246" s="40"/>
      <c r="E246" s="40"/>
      <c r="F246" s="1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4.25" customHeight="1">
      <c r="A247" s="40"/>
      <c r="B247" s="50"/>
      <c r="C247" s="50"/>
      <c r="D247" s="40"/>
      <c r="E247" s="40"/>
      <c r="F247" s="1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4.25" customHeight="1">
      <c r="A248" s="40"/>
      <c r="B248" s="50"/>
      <c r="C248" s="50"/>
      <c r="D248" s="40"/>
      <c r="E248" s="40"/>
      <c r="F248" s="1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4.25" customHeight="1">
      <c r="A249" s="40"/>
      <c r="B249" s="50"/>
      <c r="C249" s="50"/>
      <c r="D249" s="40"/>
      <c r="E249" s="40"/>
      <c r="F249" s="1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4.25" customHeight="1">
      <c r="A250" s="40"/>
      <c r="B250" s="50"/>
      <c r="C250" s="50"/>
      <c r="D250" s="40"/>
      <c r="E250" s="40"/>
      <c r="F250" s="1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4.25" customHeight="1">
      <c r="A251" s="40"/>
      <c r="B251" s="50"/>
      <c r="C251" s="50"/>
      <c r="D251" s="40"/>
      <c r="E251" s="40"/>
      <c r="F251" s="1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4.25" customHeight="1">
      <c r="A252" s="40"/>
      <c r="B252" s="50"/>
      <c r="C252" s="50"/>
      <c r="D252" s="40"/>
      <c r="E252" s="40"/>
      <c r="F252" s="1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4.25" customHeight="1">
      <c r="A253" s="40"/>
      <c r="B253" s="50"/>
      <c r="C253" s="50"/>
      <c r="D253" s="40"/>
      <c r="E253" s="40"/>
      <c r="F253" s="1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4.25" customHeight="1">
      <c r="A254" s="40"/>
      <c r="B254" s="50"/>
      <c r="C254" s="50"/>
      <c r="D254" s="40"/>
      <c r="E254" s="40"/>
      <c r="F254" s="1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4.25" customHeight="1">
      <c r="A255" s="40"/>
      <c r="B255" s="50"/>
      <c r="C255" s="50"/>
      <c r="D255" s="40"/>
      <c r="E255" s="40"/>
      <c r="F255" s="1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4.25" customHeight="1">
      <c r="A256" s="40"/>
      <c r="B256" s="50"/>
      <c r="C256" s="50"/>
      <c r="D256" s="40"/>
      <c r="E256" s="40"/>
      <c r="F256" s="1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4.25" customHeight="1">
      <c r="A257" s="40"/>
      <c r="B257" s="50"/>
      <c r="C257" s="50"/>
      <c r="D257" s="40"/>
      <c r="E257" s="40"/>
      <c r="F257" s="1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4.25" customHeight="1">
      <c r="A258" s="40"/>
      <c r="B258" s="50"/>
      <c r="C258" s="50"/>
      <c r="D258" s="40"/>
      <c r="E258" s="40"/>
      <c r="F258" s="1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4.25" customHeight="1">
      <c r="A259" s="40"/>
      <c r="B259" s="50"/>
      <c r="C259" s="50"/>
      <c r="D259" s="40"/>
      <c r="E259" s="40"/>
      <c r="F259" s="1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4.25" customHeight="1">
      <c r="A260" s="40"/>
      <c r="B260" s="50"/>
      <c r="C260" s="50"/>
      <c r="D260" s="40"/>
      <c r="E260" s="40"/>
      <c r="F260" s="1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4.25" customHeight="1">
      <c r="A261" s="40"/>
      <c r="B261" s="50"/>
      <c r="C261" s="50"/>
      <c r="D261" s="40"/>
      <c r="E261" s="40"/>
      <c r="F261" s="1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4.25" customHeight="1">
      <c r="A262" s="40"/>
      <c r="B262" s="50"/>
      <c r="C262" s="50"/>
      <c r="D262" s="40"/>
      <c r="E262" s="40"/>
      <c r="F262" s="1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4.25" customHeight="1">
      <c r="A263" s="40"/>
      <c r="B263" s="50"/>
      <c r="C263" s="50"/>
      <c r="D263" s="40"/>
      <c r="E263" s="40"/>
      <c r="F263" s="1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4.25" customHeight="1">
      <c r="A264" s="40"/>
      <c r="B264" s="50"/>
      <c r="C264" s="50"/>
      <c r="D264" s="40"/>
      <c r="E264" s="40"/>
      <c r="F264" s="1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4.25" customHeight="1">
      <c r="A265" s="40"/>
      <c r="B265" s="50"/>
      <c r="C265" s="50"/>
      <c r="D265" s="40"/>
      <c r="E265" s="40"/>
      <c r="F265" s="1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4.25" customHeight="1">
      <c r="A266" s="40"/>
      <c r="B266" s="50"/>
      <c r="C266" s="50"/>
      <c r="D266" s="40"/>
      <c r="E266" s="40"/>
      <c r="F266" s="1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4.25" customHeight="1">
      <c r="A267" s="40"/>
      <c r="B267" s="50"/>
      <c r="C267" s="50"/>
      <c r="D267" s="40"/>
      <c r="E267" s="40"/>
      <c r="F267" s="1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4.25" customHeight="1">
      <c r="A268" s="40"/>
      <c r="B268" s="50"/>
      <c r="C268" s="50"/>
      <c r="D268" s="40"/>
      <c r="E268" s="40"/>
      <c r="F268" s="1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4.25" customHeight="1">
      <c r="A269" s="40"/>
      <c r="B269" s="50"/>
      <c r="C269" s="50"/>
      <c r="D269" s="40"/>
      <c r="E269" s="40"/>
      <c r="F269" s="1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4.25" customHeight="1">
      <c r="A270" s="40"/>
      <c r="B270" s="50"/>
      <c r="C270" s="50"/>
      <c r="D270" s="40"/>
      <c r="E270" s="40"/>
      <c r="F270" s="1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4.25" customHeight="1">
      <c r="A271" s="40"/>
      <c r="B271" s="50"/>
      <c r="C271" s="50"/>
      <c r="D271" s="40"/>
      <c r="E271" s="40"/>
      <c r="F271" s="1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4.25" customHeight="1">
      <c r="A272" s="40"/>
      <c r="B272" s="50"/>
      <c r="C272" s="50"/>
      <c r="D272" s="40"/>
      <c r="E272" s="40"/>
      <c r="F272" s="1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4.25" customHeight="1">
      <c r="A273" s="40"/>
      <c r="B273" s="50"/>
      <c r="C273" s="50"/>
      <c r="D273" s="40"/>
      <c r="E273" s="40"/>
      <c r="F273" s="1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4.25" customHeight="1">
      <c r="A274" s="40"/>
      <c r="B274" s="50"/>
      <c r="C274" s="50"/>
      <c r="D274" s="40"/>
      <c r="E274" s="40"/>
      <c r="F274" s="1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4.25" customHeight="1">
      <c r="A275" s="40"/>
      <c r="B275" s="50"/>
      <c r="C275" s="50"/>
      <c r="D275" s="40"/>
      <c r="E275" s="40"/>
      <c r="F275" s="1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4.25" customHeight="1">
      <c r="A276" s="40"/>
      <c r="B276" s="50"/>
      <c r="C276" s="50"/>
      <c r="D276" s="40"/>
      <c r="E276" s="40"/>
      <c r="F276" s="1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4.25" customHeight="1">
      <c r="A277" s="40"/>
      <c r="B277" s="50"/>
      <c r="C277" s="50"/>
      <c r="D277" s="40"/>
      <c r="E277" s="40"/>
      <c r="F277" s="1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4.25" customHeight="1">
      <c r="A278" s="40"/>
      <c r="B278" s="50"/>
      <c r="C278" s="50"/>
      <c r="D278" s="40"/>
      <c r="E278" s="40"/>
      <c r="F278" s="1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4.25" customHeight="1">
      <c r="A279" s="40"/>
      <c r="B279" s="50"/>
      <c r="C279" s="50"/>
      <c r="D279" s="40"/>
      <c r="E279" s="40"/>
      <c r="F279" s="1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4.25" customHeight="1">
      <c r="A280" s="40"/>
      <c r="B280" s="50"/>
      <c r="C280" s="50"/>
      <c r="D280" s="40"/>
      <c r="E280" s="40"/>
      <c r="F280" s="1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4.25" customHeight="1">
      <c r="A281" s="40"/>
      <c r="B281" s="50"/>
      <c r="C281" s="50"/>
      <c r="D281" s="40"/>
      <c r="E281" s="40"/>
      <c r="F281" s="1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4.25" customHeight="1">
      <c r="A282" s="40"/>
      <c r="B282" s="50"/>
      <c r="C282" s="50"/>
      <c r="D282" s="40"/>
      <c r="E282" s="40"/>
      <c r="F282" s="1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4.25" customHeight="1">
      <c r="A283" s="40"/>
      <c r="B283" s="50"/>
      <c r="C283" s="50"/>
      <c r="D283" s="40"/>
      <c r="E283" s="40"/>
      <c r="F283" s="1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4.25" customHeight="1">
      <c r="A284" s="40"/>
      <c r="B284" s="50"/>
      <c r="C284" s="50"/>
      <c r="D284" s="40"/>
      <c r="E284" s="40"/>
      <c r="F284" s="1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4.25" customHeight="1">
      <c r="A285" s="40"/>
      <c r="B285" s="50"/>
      <c r="C285" s="50"/>
      <c r="D285" s="40"/>
      <c r="E285" s="40"/>
      <c r="F285" s="1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4.25" customHeight="1">
      <c r="A286" s="40"/>
      <c r="B286" s="50"/>
      <c r="C286" s="50"/>
      <c r="D286" s="40"/>
      <c r="E286" s="40"/>
      <c r="F286" s="1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4.25" customHeight="1">
      <c r="A287" s="40"/>
      <c r="B287" s="50"/>
      <c r="C287" s="50"/>
      <c r="D287" s="40"/>
      <c r="E287" s="40"/>
      <c r="F287" s="1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4.25" customHeight="1">
      <c r="A288" s="40"/>
      <c r="B288" s="50"/>
      <c r="C288" s="50"/>
      <c r="D288" s="40"/>
      <c r="E288" s="40"/>
      <c r="F288" s="1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4.25" customHeight="1">
      <c r="A289" s="40"/>
      <c r="B289" s="50"/>
      <c r="C289" s="50"/>
      <c r="D289" s="40"/>
      <c r="E289" s="40"/>
      <c r="F289" s="1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4.25" customHeight="1">
      <c r="A290" s="40"/>
      <c r="B290" s="50"/>
      <c r="C290" s="50"/>
      <c r="D290" s="40"/>
      <c r="E290" s="40"/>
      <c r="F290" s="1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4.25" customHeight="1">
      <c r="A291" s="40"/>
      <c r="B291" s="50"/>
      <c r="C291" s="50"/>
      <c r="D291" s="40"/>
      <c r="E291" s="40"/>
      <c r="F291" s="1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4.25" customHeight="1">
      <c r="A292" s="40"/>
      <c r="B292" s="50"/>
      <c r="C292" s="50"/>
      <c r="D292" s="40"/>
      <c r="E292" s="40"/>
      <c r="F292" s="1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4.25" customHeight="1">
      <c r="A293" s="40"/>
      <c r="B293" s="50"/>
      <c r="C293" s="50"/>
      <c r="D293" s="40"/>
      <c r="E293" s="40"/>
      <c r="F293" s="1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4.25" customHeight="1">
      <c r="A294" s="40"/>
      <c r="B294" s="50"/>
      <c r="C294" s="50"/>
      <c r="D294" s="40"/>
      <c r="E294" s="40"/>
      <c r="F294" s="1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4.25" customHeight="1">
      <c r="A295" s="40"/>
      <c r="B295" s="50"/>
      <c r="C295" s="50"/>
      <c r="D295" s="40"/>
      <c r="E295" s="40"/>
      <c r="F295" s="1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4.25" customHeight="1">
      <c r="A296" s="40"/>
      <c r="B296" s="50"/>
      <c r="C296" s="50"/>
      <c r="D296" s="40"/>
      <c r="E296" s="40"/>
      <c r="F296" s="1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4.25" customHeight="1">
      <c r="A297" s="40"/>
      <c r="B297" s="50"/>
      <c r="C297" s="50"/>
      <c r="D297" s="40"/>
      <c r="E297" s="40"/>
      <c r="F297" s="1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4.25" customHeight="1">
      <c r="A298" s="40"/>
      <c r="B298" s="50"/>
      <c r="C298" s="50"/>
      <c r="D298" s="40"/>
      <c r="E298" s="40"/>
      <c r="F298" s="1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4.25" customHeight="1">
      <c r="A299" s="40"/>
      <c r="B299" s="50"/>
      <c r="C299" s="50"/>
      <c r="D299" s="40"/>
      <c r="E299" s="40"/>
      <c r="F299" s="1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4.25" customHeight="1">
      <c r="A300" s="40"/>
      <c r="B300" s="50"/>
      <c r="C300" s="50"/>
      <c r="D300" s="40"/>
      <c r="E300" s="40"/>
      <c r="F300" s="1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4.25" customHeight="1">
      <c r="A301" s="40"/>
      <c r="B301" s="50"/>
      <c r="C301" s="50"/>
      <c r="D301" s="40"/>
      <c r="E301" s="40"/>
      <c r="F301" s="1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4.25" customHeight="1">
      <c r="A302" s="40"/>
      <c r="B302" s="50"/>
      <c r="C302" s="50"/>
      <c r="D302" s="40"/>
      <c r="E302" s="40"/>
      <c r="F302" s="1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4.25" customHeight="1">
      <c r="A303" s="40"/>
      <c r="B303" s="50"/>
      <c r="C303" s="50"/>
      <c r="D303" s="40"/>
      <c r="E303" s="40"/>
      <c r="F303" s="1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4.25" customHeight="1">
      <c r="A304" s="40"/>
      <c r="B304" s="50"/>
      <c r="C304" s="50"/>
      <c r="D304" s="40"/>
      <c r="E304" s="40"/>
      <c r="F304" s="1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4.25" customHeight="1">
      <c r="A305" s="40"/>
      <c r="B305" s="50"/>
      <c r="C305" s="50"/>
      <c r="D305" s="40"/>
      <c r="E305" s="40"/>
      <c r="F305" s="1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4.25" customHeight="1">
      <c r="A306" s="40"/>
      <c r="B306" s="50"/>
      <c r="C306" s="50"/>
      <c r="D306" s="40"/>
      <c r="E306" s="40"/>
      <c r="F306" s="1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4.25" customHeight="1">
      <c r="A307" s="40"/>
      <c r="B307" s="50"/>
      <c r="C307" s="50"/>
      <c r="D307" s="40"/>
      <c r="E307" s="40"/>
      <c r="F307" s="1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4.25" customHeight="1">
      <c r="A308" s="40"/>
      <c r="B308" s="50"/>
      <c r="C308" s="50"/>
      <c r="D308" s="40"/>
      <c r="E308" s="40"/>
      <c r="F308" s="1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4.25" customHeight="1">
      <c r="A309" s="40"/>
      <c r="B309" s="50"/>
      <c r="C309" s="50"/>
      <c r="D309" s="40"/>
      <c r="E309" s="40"/>
      <c r="F309" s="1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4.25" customHeight="1">
      <c r="A310" s="40"/>
      <c r="B310" s="50"/>
      <c r="C310" s="50"/>
      <c r="D310" s="40"/>
      <c r="E310" s="40"/>
      <c r="F310" s="1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4.25" customHeight="1">
      <c r="A311" s="40"/>
      <c r="B311" s="50"/>
      <c r="C311" s="50"/>
      <c r="D311" s="40"/>
      <c r="E311" s="40"/>
      <c r="F311" s="1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4.25" customHeight="1">
      <c r="A312" s="40"/>
      <c r="B312" s="50"/>
      <c r="C312" s="50"/>
      <c r="D312" s="40"/>
      <c r="E312" s="40"/>
      <c r="F312" s="1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4.25" customHeight="1">
      <c r="A313" s="40"/>
      <c r="B313" s="50"/>
      <c r="C313" s="50"/>
      <c r="D313" s="40"/>
      <c r="E313" s="40"/>
      <c r="F313" s="1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4.25" customHeight="1">
      <c r="A314" s="40"/>
      <c r="B314" s="50"/>
      <c r="C314" s="50"/>
      <c r="D314" s="40"/>
      <c r="E314" s="40"/>
      <c r="F314" s="1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4.25" customHeight="1">
      <c r="A315" s="40"/>
      <c r="B315" s="50"/>
      <c r="C315" s="50"/>
      <c r="D315" s="40"/>
      <c r="E315" s="40"/>
      <c r="F315" s="1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4.25" customHeight="1">
      <c r="A316" s="40"/>
      <c r="B316" s="50"/>
      <c r="C316" s="50"/>
      <c r="D316" s="40"/>
      <c r="E316" s="40"/>
      <c r="F316" s="1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4.25" customHeight="1">
      <c r="A317" s="40"/>
      <c r="B317" s="50"/>
      <c r="C317" s="50"/>
      <c r="D317" s="40"/>
      <c r="E317" s="40"/>
      <c r="F317" s="1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4.25" customHeight="1">
      <c r="A318" s="40"/>
      <c r="B318" s="50"/>
      <c r="C318" s="50"/>
      <c r="D318" s="40"/>
      <c r="E318" s="40"/>
      <c r="F318" s="1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4.25" customHeight="1">
      <c r="A319" s="40"/>
      <c r="B319" s="50"/>
      <c r="C319" s="50"/>
      <c r="D319" s="40"/>
      <c r="E319" s="40"/>
      <c r="F319" s="1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4.25" customHeight="1">
      <c r="A320" s="40"/>
      <c r="B320" s="50"/>
      <c r="C320" s="50"/>
      <c r="D320" s="40"/>
      <c r="E320" s="40"/>
      <c r="F320" s="1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4.25" customHeight="1">
      <c r="A321" s="40"/>
      <c r="B321" s="50"/>
      <c r="C321" s="50"/>
      <c r="D321" s="40"/>
      <c r="E321" s="40"/>
      <c r="F321" s="1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4.25" customHeight="1">
      <c r="A322" s="40"/>
      <c r="B322" s="50"/>
      <c r="C322" s="50"/>
      <c r="D322" s="40"/>
      <c r="E322" s="40"/>
      <c r="F322" s="1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4.25" customHeight="1">
      <c r="A323" s="40"/>
      <c r="B323" s="50"/>
      <c r="C323" s="50"/>
      <c r="D323" s="40"/>
      <c r="E323" s="40"/>
      <c r="F323" s="1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4.25" customHeight="1">
      <c r="A324" s="40"/>
      <c r="B324" s="50"/>
      <c r="C324" s="50"/>
      <c r="D324" s="40"/>
      <c r="E324" s="40"/>
      <c r="F324" s="1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4.25" customHeight="1">
      <c r="A325" s="40"/>
      <c r="B325" s="50"/>
      <c r="C325" s="50"/>
      <c r="D325" s="40"/>
      <c r="E325" s="40"/>
      <c r="F325" s="1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4.25" customHeight="1">
      <c r="A326" s="40"/>
      <c r="B326" s="50"/>
      <c r="C326" s="50"/>
      <c r="D326" s="40"/>
      <c r="E326" s="40"/>
      <c r="F326" s="1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4.25" customHeight="1">
      <c r="A327" s="40"/>
      <c r="B327" s="50"/>
      <c r="C327" s="50"/>
      <c r="D327" s="40"/>
      <c r="E327" s="40"/>
      <c r="F327" s="1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4.25" customHeight="1">
      <c r="A328" s="40"/>
      <c r="B328" s="50"/>
      <c r="C328" s="50"/>
      <c r="D328" s="40"/>
      <c r="E328" s="40"/>
      <c r="F328" s="1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4.25" customHeight="1">
      <c r="A329" s="40"/>
      <c r="B329" s="50"/>
      <c r="C329" s="50"/>
      <c r="D329" s="40"/>
      <c r="E329" s="40"/>
      <c r="F329" s="1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4.25" customHeight="1">
      <c r="A330" s="40"/>
      <c r="B330" s="50"/>
      <c r="C330" s="50"/>
      <c r="D330" s="40"/>
      <c r="E330" s="40"/>
      <c r="F330" s="1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4.25" customHeight="1">
      <c r="A331" s="40"/>
      <c r="B331" s="50"/>
      <c r="C331" s="50"/>
      <c r="D331" s="40"/>
      <c r="E331" s="40"/>
      <c r="F331" s="1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4.25" customHeight="1">
      <c r="A332" s="40"/>
      <c r="B332" s="50"/>
      <c r="C332" s="50"/>
      <c r="D332" s="40"/>
      <c r="E332" s="40"/>
      <c r="F332" s="1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4.25" customHeight="1">
      <c r="A333" s="40"/>
      <c r="B333" s="50"/>
      <c r="C333" s="50"/>
      <c r="D333" s="40"/>
      <c r="E333" s="40"/>
      <c r="F333" s="1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4.25" customHeight="1">
      <c r="A334" s="40"/>
      <c r="B334" s="50"/>
      <c r="C334" s="50"/>
      <c r="D334" s="40"/>
      <c r="E334" s="40"/>
      <c r="F334" s="1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4.25" customHeight="1">
      <c r="A335" s="40"/>
      <c r="B335" s="50"/>
      <c r="C335" s="50"/>
      <c r="D335" s="40"/>
      <c r="E335" s="40"/>
      <c r="F335" s="1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4.25" customHeight="1">
      <c r="A336" s="40"/>
      <c r="B336" s="50"/>
      <c r="C336" s="50"/>
      <c r="D336" s="40"/>
      <c r="E336" s="40"/>
      <c r="F336" s="1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4.25" customHeight="1">
      <c r="A337" s="40"/>
      <c r="B337" s="50"/>
      <c r="C337" s="50"/>
      <c r="D337" s="40"/>
      <c r="E337" s="40"/>
      <c r="F337" s="1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4.25" customHeight="1">
      <c r="A338" s="40"/>
      <c r="B338" s="50"/>
      <c r="C338" s="50"/>
      <c r="D338" s="40"/>
      <c r="E338" s="40"/>
      <c r="F338" s="1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4.25" customHeight="1">
      <c r="A339" s="40"/>
      <c r="B339" s="50"/>
      <c r="C339" s="50"/>
      <c r="D339" s="40"/>
      <c r="E339" s="40"/>
      <c r="F339" s="1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4.25" customHeight="1">
      <c r="A340" s="40"/>
      <c r="B340" s="50"/>
      <c r="C340" s="50"/>
      <c r="D340" s="40"/>
      <c r="E340" s="40"/>
      <c r="F340" s="1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4.25" customHeight="1">
      <c r="A341" s="40"/>
      <c r="B341" s="50"/>
      <c r="C341" s="50"/>
      <c r="D341" s="40"/>
      <c r="E341" s="40"/>
      <c r="F341" s="1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4.25" customHeight="1">
      <c r="A342" s="40"/>
      <c r="B342" s="50"/>
      <c r="C342" s="50"/>
      <c r="D342" s="40"/>
      <c r="E342" s="40"/>
      <c r="F342" s="1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4.25" customHeight="1">
      <c r="A343" s="40"/>
      <c r="B343" s="50"/>
      <c r="C343" s="50"/>
      <c r="D343" s="40"/>
      <c r="E343" s="40"/>
      <c r="F343" s="1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4.25" customHeight="1">
      <c r="A344" s="40"/>
      <c r="B344" s="50"/>
      <c r="C344" s="50"/>
      <c r="D344" s="40"/>
      <c r="E344" s="40"/>
      <c r="F344" s="1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4.25" customHeight="1">
      <c r="A345" s="40"/>
      <c r="B345" s="50"/>
      <c r="C345" s="50"/>
      <c r="D345" s="40"/>
      <c r="E345" s="40"/>
      <c r="F345" s="1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4.25" customHeight="1">
      <c r="A346" s="40"/>
      <c r="B346" s="50"/>
      <c r="C346" s="50"/>
      <c r="D346" s="40"/>
      <c r="E346" s="40"/>
      <c r="F346" s="1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4.25" customHeight="1">
      <c r="A347" s="40"/>
      <c r="B347" s="50"/>
      <c r="C347" s="50"/>
      <c r="D347" s="40"/>
      <c r="E347" s="40"/>
      <c r="F347" s="1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4.25" customHeight="1">
      <c r="A348" s="40"/>
      <c r="B348" s="50"/>
      <c r="C348" s="50"/>
      <c r="D348" s="40"/>
      <c r="E348" s="40"/>
      <c r="F348" s="1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4.25" customHeight="1">
      <c r="A349" s="40"/>
      <c r="B349" s="50"/>
      <c r="C349" s="50"/>
      <c r="D349" s="40"/>
      <c r="E349" s="40"/>
      <c r="F349" s="1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4.25" customHeight="1">
      <c r="A350" s="40"/>
      <c r="B350" s="50"/>
      <c r="C350" s="50"/>
      <c r="D350" s="40"/>
      <c r="E350" s="40"/>
      <c r="F350" s="1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4.25" customHeight="1">
      <c r="A351" s="40"/>
      <c r="B351" s="50"/>
      <c r="C351" s="50"/>
      <c r="D351" s="40"/>
      <c r="E351" s="40"/>
      <c r="F351" s="1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4.25" customHeight="1">
      <c r="A352" s="40"/>
      <c r="B352" s="50"/>
      <c r="C352" s="50"/>
      <c r="D352" s="40"/>
      <c r="E352" s="40"/>
      <c r="F352" s="1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4.25" customHeight="1">
      <c r="A353" s="40"/>
      <c r="B353" s="50"/>
      <c r="C353" s="50"/>
      <c r="D353" s="40"/>
      <c r="E353" s="40"/>
      <c r="F353" s="1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4.25" customHeight="1">
      <c r="A354" s="40"/>
      <c r="B354" s="50"/>
      <c r="C354" s="50"/>
      <c r="D354" s="40"/>
      <c r="E354" s="40"/>
      <c r="F354" s="1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4.25" customHeight="1">
      <c r="A355" s="40"/>
      <c r="B355" s="50"/>
      <c r="C355" s="50"/>
      <c r="D355" s="40"/>
      <c r="E355" s="40"/>
      <c r="F355" s="1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4.25" customHeight="1">
      <c r="A356" s="40"/>
      <c r="B356" s="50"/>
      <c r="C356" s="50"/>
      <c r="D356" s="40"/>
      <c r="E356" s="40"/>
      <c r="F356" s="1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4.25" customHeight="1">
      <c r="A357" s="40"/>
      <c r="B357" s="50"/>
      <c r="C357" s="50"/>
      <c r="D357" s="40"/>
      <c r="E357" s="40"/>
      <c r="F357" s="1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4.25" customHeight="1">
      <c r="A358" s="40"/>
      <c r="B358" s="50"/>
      <c r="C358" s="50"/>
      <c r="D358" s="40"/>
      <c r="E358" s="40"/>
      <c r="F358" s="1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4.25" customHeight="1">
      <c r="A359" s="40"/>
      <c r="B359" s="50"/>
      <c r="C359" s="50"/>
      <c r="D359" s="40"/>
      <c r="E359" s="40"/>
      <c r="F359" s="1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4.25" customHeight="1">
      <c r="A360" s="40"/>
      <c r="B360" s="50"/>
      <c r="C360" s="50"/>
      <c r="D360" s="40"/>
      <c r="E360" s="40"/>
      <c r="F360" s="1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4.25" customHeight="1">
      <c r="A361" s="40"/>
      <c r="B361" s="50"/>
      <c r="C361" s="50"/>
      <c r="D361" s="40"/>
      <c r="E361" s="40"/>
      <c r="F361" s="1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4.25" customHeight="1">
      <c r="A362" s="40"/>
      <c r="B362" s="50"/>
      <c r="C362" s="50"/>
      <c r="D362" s="40"/>
      <c r="E362" s="40"/>
      <c r="F362" s="1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4.25" customHeight="1">
      <c r="A363" s="40"/>
      <c r="B363" s="50"/>
      <c r="C363" s="50"/>
      <c r="D363" s="40"/>
      <c r="E363" s="40"/>
      <c r="F363" s="1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4.25" customHeight="1">
      <c r="A364" s="40"/>
      <c r="B364" s="50"/>
      <c r="C364" s="50"/>
      <c r="D364" s="40"/>
      <c r="E364" s="40"/>
      <c r="F364" s="1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4.25" customHeight="1">
      <c r="A365" s="40"/>
      <c r="B365" s="50"/>
      <c r="C365" s="50"/>
      <c r="D365" s="40"/>
      <c r="E365" s="40"/>
      <c r="F365" s="1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4.25" customHeight="1">
      <c r="A366" s="40"/>
      <c r="B366" s="50"/>
      <c r="C366" s="50"/>
      <c r="D366" s="40"/>
      <c r="E366" s="40"/>
      <c r="F366" s="1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4.25" customHeight="1">
      <c r="A367" s="40"/>
      <c r="B367" s="50"/>
      <c r="C367" s="50"/>
      <c r="D367" s="40"/>
      <c r="E367" s="40"/>
      <c r="F367" s="1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4.25" customHeight="1">
      <c r="A368" s="40"/>
      <c r="B368" s="50"/>
      <c r="C368" s="50"/>
      <c r="D368" s="40"/>
      <c r="E368" s="40"/>
      <c r="F368" s="1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4.25" customHeight="1">
      <c r="A369" s="40"/>
      <c r="B369" s="50"/>
      <c r="C369" s="50"/>
      <c r="D369" s="40"/>
      <c r="E369" s="40"/>
      <c r="F369" s="1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4.25" customHeight="1">
      <c r="A370" s="40"/>
      <c r="B370" s="50"/>
      <c r="C370" s="50"/>
      <c r="D370" s="40"/>
      <c r="E370" s="40"/>
      <c r="F370" s="1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4.25" customHeight="1">
      <c r="A371" s="40"/>
      <c r="B371" s="50"/>
      <c r="C371" s="50"/>
      <c r="D371" s="40"/>
      <c r="E371" s="40"/>
      <c r="F371" s="1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4.25" customHeight="1">
      <c r="A372" s="40"/>
      <c r="B372" s="50"/>
      <c r="C372" s="50"/>
      <c r="D372" s="40"/>
      <c r="E372" s="40"/>
      <c r="F372" s="1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4.25" customHeight="1">
      <c r="A373" s="40"/>
      <c r="B373" s="50"/>
      <c r="C373" s="50"/>
      <c r="D373" s="40"/>
      <c r="E373" s="40"/>
      <c r="F373" s="1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4.25" customHeight="1">
      <c r="A374" s="40"/>
      <c r="B374" s="50"/>
      <c r="C374" s="50"/>
      <c r="D374" s="40"/>
      <c r="E374" s="40"/>
      <c r="F374" s="1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4.25" customHeight="1">
      <c r="A375" s="40"/>
      <c r="B375" s="50"/>
      <c r="C375" s="50"/>
      <c r="D375" s="40"/>
      <c r="E375" s="40"/>
      <c r="F375" s="1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4.25" customHeight="1">
      <c r="A376" s="40"/>
      <c r="B376" s="50"/>
      <c r="C376" s="50"/>
      <c r="D376" s="40"/>
      <c r="E376" s="40"/>
      <c r="F376" s="1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4.25" customHeight="1">
      <c r="A377" s="40"/>
      <c r="B377" s="50"/>
      <c r="C377" s="50"/>
      <c r="D377" s="40"/>
      <c r="E377" s="40"/>
      <c r="F377" s="1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4.25" customHeight="1">
      <c r="A378" s="40"/>
      <c r="B378" s="50"/>
      <c r="C378" s="50"/>
      <c r="D378" s="40"/>
      <c r="E378" s="40"/>
      <c r="F378" s="1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4.25" customHeight="1">
      <c r="A379" s="40"/>
      <c r="B379" s="50"/>
      <c r="C379" s="50"/>
      <c r="D379" s="40"/>
      <c r="E379" s="40"/>
      <c r="F379" s="1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4.25" customHeight="1">
      <c r="A380" s="40"/>
      <c r="B380" s="50"/>
      <c r="C380" s="50"/>
      <c r="D380" s="40"/>
      <c r="E380" s="40"/>
      <c r="F380" s="1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4.25" customHeight="1">
      <c r="A381" s="40"/>
      <c r="B381" s="50"/>
      <c r="C381" s="50"/>
      <c r="D381" s="40"/>
      <c r="E381" s="40"/>
      <c r="F381" s="1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4.25" customHeight="1">
      <c r="A382" s="40"/>
      <c r="B382" s="50"/>
      <c r="C382" s="50"/>
      <c r="D382" s="40"/>
      <c r="E382" s="40"/>
      <c r="F382" s="1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4.25" customHeight="1">
      <c r="A383" s="40"/>
      <c r="B383" s="50"/>
      <c r="C383" s="50"/>
      <c r="D383" s="40"/>
      <c r="E383" s="40"/>
      <c r="F383" s="1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4.25" customHeight="1">
      <c r="A384" s="40"/>
      <c r="B384" s="50"/>
      <c r="C384" s="50"/>
      <c r="D384" s="40"/>
      <c r="E384" s="40"/>
      <c r="F384" s="1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4.25" customHeight="1">
      <c r="A385" s="40"/>
      <c r="B385" s="50"/>
      <c r="C385" s="50"/>
      <c r="D385" s="40"/>
      <c r="E385" s="40"/>
      <c r="F385" s="1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4.25" customHeight="1">
      <c r="A386" s="40"/>
      <c r="B386" s="50"/>
      <c r="C386" s="50"/>
      <c r="D386" s="40"/>
      <c r="E386" s="40"/>
      <c r="F386" s="1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4.25" customHeight="1">
      <c r="A387" s="40"/>
      <c r="B387" s="50"/>
      <c r="C387" s="50"/>
      <c r="D387" s="40"/>
      <c r="E387" s="40"/>
      <c r="F387" s="1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4.25" customHeight="1">
      <c r="A388" s="40"/>
      <c r="B388" s="50"/>
      <c r="C388" s="50"/>
      <c r="D388" s="40"/>
      <c r="E388" s="40"/>
      <c r="F388" s="1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4.25" customHeight="1">
      <c r="A389" s="40"/>
      <c r="B389" s="50"/>
      <c r="C389" s="50"/>
      <c r="D389" s="40"/>
      <c r="E389" s="40"/>
      <c r="F389" s="1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4.25" customHeight="1">
      <c r="A390" s="40"/>
      <c r="B390" s="50"/>
      <c r="C390" s="50"/>
      <c r="D390" s="40"/>
      <c r="E390" s="40"/>
      <c r="F390" s="1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4.25" customHeight="1">
      <c r="A391" s="40"/>
      <c r="B391" s="50"/>
      <c r="C391" s="50"/>
      <c r="D391" s="40"/>
      <c r="E391" s="40"/>
      <c r="F391" s="1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4.25" customHeight="1">
      <c r="A392" s="40"/>
      <c r="B392" s="50"/>
      <c r="C392" s="50"/>
      <c r="D392" s="40"/>
      <c r="E392" s="40"/>
      <c r="F392" s="1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4.25" customHeight="1">
      <c r="A393" s="40"/>
      <c r="B393" s="50"/>
      <c r="C393" s="50"/>
      <c r="D393" s="40"/>
      <c r="E393" s="40"/>
      <c r="F393" s="1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4.25" customHeight="1">
      <c r="A394" s="40"/>
      <c r="B394" s="50"/>
      <c r="C394" s="50"/>
      <c r="D394" s="40"/>
      <c r="E394" s="40"/>
      <c r="F394" s="1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4.25" customHeight="1">
      <c r="A395" s="40"/>
      <c r="B395" s="50"/>
      <c r="C395" s="50"/>
      <c r="D395" s="40"/>
      <c r="E395" s="40"/>
      <c r="F395" s="1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4.25" customHeight="1">
      <c r="A396" s="40"/>
      <c r="B396" s="50"/>
      <c r="C396" s="50"/>
      <c r="D396" s="40"/>
      <c r="E396" s="40"/>
      <c r="F396" s="1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4.25" customHeight="1">
      <c r="A397" s="40"/>
      <c r="B397" s="50"/>
      <c r="C397" s="50"/>
      <c r="D397" s="40"/>
      <c r="E397" s="40"/>
      <c r="F397" s="1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4.25" customHeight="1">
      <c r="A398" s="40"/>
      <c r="B398" s="50"/>
      <c r="C398" s="50"/>
      <c r="D398" s="40"/>
      <c r="E398" s="40"/>
      <c r="F398" s="1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4.25" customHeight="1">
      <c r="A399" s="40"/>
      <c r="B399" s="50"/>
      <c r="C399" s="50"/>
      <c r="D399" s="40"/>
      <c r="E399" s="40"/>
      <c r="F399" s="1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4.25" customHeight="1">
      <c r="A400" s="40"/>
      <c r="B400" s="50"/>
      <c r="C400" s="50"/>
      <c r="D400" s="40"/>
      <c r="E400" s="40"/>
      <c r="F400" s="1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4.25" customHeight="1">
      <c r="A401" s="40"/>
      <c r="B401" s="50"/>
      <c r="C401" s="50"/>
      <c r="D401" s="40"/>
      <c r="E401" s="40"/>
      <c r="F401" s="1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4.25" customHeight="1">
      <c r="A402" s="40"/>
      <c r="B402" s="50"/>
      <c r="C402" s="50"/>
      <c r="D402" s="40"/>
      <c r="E402" s="40"/>
      <c r="F402" s="1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4.25" customHeight="1">
      <c r="A403" s="40"/>
      <c r="B403" s="50"/>
      <c r="C403" s="50"/>
      <c r="D403" s="40"/>
      <c r="E403" s="40"/>
      <c r="F403" s="1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4.25" customHeight="1">
      <c r="A404" s="40"/>
      <c r="B404" s="50"/>
      <c r="C404" s="50"/>
      <c r="D404" s="40"/>
      <c r="E404" s="40"/>
      <c r="F404" s="1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4.25" customHeight="1">
      <c r="A405" s="40"/>
      <c r="B405" s="50"/>
      <c r="C405" s="50"/>
      <c r="D405" s="40"/>
      <c r="E405" s="40"/>
      <c r="F405" s="1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4.25" customHeight="1">
      <c r="A406" s="40"/>
      <c r="B406" s="50"/>
      <c r="C406" s="50"/>
      <c r="D406" s="40"/>
      <c r="E406" s="40"/>
      <c r="F406" s="1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4.25" customHeight="1">
      <c r="A407" s="40"/>
      <c r="B407" s="50"/>
      <c r="C407" s="50"/>
      <c r="D407" s="40"/>
      <c r="E407" s="40"/>
      <c r="F407" s="1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4.25" customHeight="1">
      <c r="A408" s="40"/>
      <c r="B408" s="50"/>
      <c r="C408" s="50"/>
      <c r="D408" s="40"/>
      <c r="E408" s="40"/>
      <c r="F408" s="1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4.25" customHeight="1">
      <c r="A409" s="40"/>
      <c r="B409" s="50"/>
      <c r="C409" s="50"/>
      <c r="D409" s="40"/>
      <c r="E409" s="40"/>
      <c r="F409" s="1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4.25" customHeight="1">
      <c r="A410" s="40"/>
      <c r="B410" s="50"/>
      <c r="C410" s="50"/>
      <c r="D410" s="40"/>
      <c r="E410" s="40"/>
      <c r="F410" s="1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4.25" customHeight="1">
      <c r="A411" s="40"/>
      <c r="B411" s="50"/>
      <c r="C411" s="50"/>
      <c r="D411" s="40"/>
      <c r="E411" s="40"/>
      <c r="F411" s="1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4.25" customHeight="1">
      <c r="A412" s="40"/>
      <c r="B412" s="50"/>
      <c r="C412" s="50"/>
      <c r="D412" s="40"/>
      <c r="E412" s="40"/>
      <c r="F412" s="1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4.25" customHeight="1">
      <c r="A413" s="40"/>
      <c r="B413" s="50"/>
      <c r="C413" s="50"/>
      <c r="D413" s="40"/>
      <c r="E413" s="40"/>
      <c r="F413" s="1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4.25" customHeight="1">
      <c r="A414" s="40"/>
      <c r="B414" s="50"/>
      <c r="C414" s="50"/>
      <c r="D414" s="40"/>
      <c r="E414" s="40"/>
      <c r="F414" s="1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4.25" customHeight="1">
      <c r="A415" s="40"/>
      <c r="B415" s="50"/>
      <c r="C415" s="50"/>
      <c r="D415" s="40"/>
      <c r="E415" s="40"/>
      <c r="F415" s="1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4.25" customHeight="1">
      <c r="A416" s="40"/>
      <c r="B416" s="50"/>
      <c r="C416" s="50"/>
      <c r="D416" s="40"/>
      <c r="E416" s="40"/>
      <c r="F416" s="1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4.25" customHeight="1">
      <c r="A417" s="40"/>
      <c r="B417" s="50"/>
      <c r="C417" s="50"/>
      <c r="D417" s="40"/>
      <c r="E417" s="40"/>
      <c r="F417" s="1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4.25" customHeight="1">
      <c r="A418" s="40"/>
      <c r="B418" s="50"/>
      <c r="C418" s="50"/>
      <c r="D418" s="40"/>
      <c r="E418" s="40"/>
      <c r="F418" s="1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4.25" customHeight="1">
      <c r="A419" s="40"/>
      <c r="B419" s="50"/>
      <c r="C419" s="50"/>
      <c r="D419" s="40"/>
      <c r="E419" s="40"/>
      <c r="F419" s="1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4.25" customHeight="1">
      <c r="A420" s="40"/>
      <c r="B420" s="50"/>
      <c r="C420" s="50"/>
      <c r="D420" s="40"/>
      <c r="E420" s="40"/>
      <c r="F420" s="1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4.25" customHeight="1">
      <c r="A421" s="40"/>
      <c r="B421" s="50"/>
      <c r="C421" s="50"/>
      <c r="D421" s="40"/>
      <c r="E421" s="40"/>
      <c r="F421" s="1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4.25" customHeight="1">
      <c r="A422" s="40"/>
      <c r="B422" s="50"/>
      <c r="C422" s="50"/>
      <c r="D422" s="40"/>
      <c r="E422" s="40"/>
      <c r="F422" s="1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4.25" customHeight="1">
      <c r="A423" s="40"/>
      <c r="B423" s="50"/>
      <c r="C423" s="50"/>
      <c r="D423" s="40"/>
      <c r="E423" s="40"/>
      <c r="F423" s="1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4.25" customHeight="1">
      <c r="A424" s="40"/>
      <c r="B424" s="50"/>
      <c r="C424" s="50"/>
      <c r="D424" s="40"/>
      <c r="E424" s="40"/>
      <c r="F424" s="1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4.25" customHeight="1">
      <c r="A425" s="40"/>
      <c r="B425" s="50"/>
      <c r="C425" s="50"/>
      <c r="D425" s="40"/>
      <c r="E425" s="40"/>
      <c r="F425" s="1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4.25" customHeight="1">
      <c r="A426" s="40"/>
      <c r="B426" s="50"/>
      <c r="C426" s="50"/>
      <c r="D426" s="40"/>
      <c r="E426" s="40"/>
      <c r="F426" s="1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4.25" customHeight="1">
      <c r="A427" s="40"/>
      <c r="B427" s="50"/>
      <c r="C427" s="50"/>
      <c r="D427" s="40"/>
      <c r="E427" s="40"/>
      <c r="F427" s="1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4.25" customHeight="1">
      <c r="A428" s="40"/>
      <c r="B428" s="50"/>
      <c r="C428" s="50"/>
      <c r="D428" s="40"/>
      <c r="E428" s="40"/>
      <c r="F428" s="1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4.25" customHeight="1">
      <c r="A429" s="40"/>
      <c r="B429" s="50"/>
      <c r="C429" s="50"/>
      <c r="D429" s="40"/>
      <c r="E429" s="40"/>
      <c r="F429" s="1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4.25" customHeight="1">
      <c r="A430" s="40"/>
      <c r="B430" s="50"/>
      <c r="C430" s="50"/>
      <c r="D430" s="40"/>
      <c r="E430" s="40"/>
      <c r="F430" s="1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4.25" customHeight="1">
      <c r="A431" s="40"/>
      <c r="B431" s="50"/>
      <c r="C431" s="50"/>
      <c r="D431" s="40"/>
      <c r="E431" s="40"/>
      <c r="F431" s="1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4.25" customHeight="1">
      <c r="A432" s="40"/>
      <c r="B432" s="50"/>
      <c r="C432" s="50"/>
      <c r="D432" s="40"/>
      <c r="E432" s="40"/>
      <c r="F432" s="1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4.25" customHeight="1">
      <c r="A433" s="40"/>
      <c r="B433" s="50"/>
      <c r="C433" s="50"/>
      <c r="D433" s="40"/>
      <c r="E433" s="40"/>
      <c r="F433" s="1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4.25" customHeight="1">
      <c r="A434" s="40"/>
      <c r="B434" s="50"/>
      <c r="C434" s="50"/>
      <c r="D434" s="40"/>
      <c r="E434" s="40"/>
      <c r="F434" s="1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4.25" customHeight="1">
      <c r="A435" s="40"/>
      <c r="B435" s="50"/>
      <c r="C435" s="50"/>
      <c r="D435" s="40"/>
      <c r="E435" s="40"/>
      <c r="F435" s="1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4.25" customHeight="1">
      <c r="A436" s="40"/>
      <c r="B436" s="50"/>
      <c r="C436" s="50"/>
      <c r="D436" s="40"/>
      <c r="E436" s="40"/>
      <c r="F436" s="1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4.25" customHeight="1">
      <c r="A437" s="40"/>
      <c r="B437" s="50"/>
      <c r="C437" s="50"/>
      <c r="D437" s="40"/>
      <c r="E437" s="40"/>
      <c r="F437" s="1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4.25" customHeight="1">
      <c r="A438" s="40"/>
      <c r="B438" s="50"/>
      <c r="C438" s="50"/>
      <c r="D438" s="40"/>
      <c r="E438" s="40"/>
      <c r="F438" s="1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4.25" customHeight="1">
      <c r="A439" s="40"/>
      <c r="B439" s="50"/>
      <c r="C439" s="50"/>
      <c r="D439" s="40"/>
      <c r="E439" s="40"/>
      <c r="F439" s="1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4.25" customHeight="1">
      <c r="A440" s="40"/>
      <c r="B440" s="50"/>
      <c r="C440" s="50"/>
      <c r="D440" s="40"/>
      <c r="E440" s="40"/>
      <c r="F440" s="1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4.25" customHeight="1">
      <c r="A441" s="40"/>
      <c r="B441" s="50"/>
      <c r="C441" s="50"/>
      <c r="D441" s="40"/>
      <c r="E441" s="40"/>
      <c r="F441" s="1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4.25" customHeight="1">
      <c r="A442" s="40"/>
      <c r="B442" s="50"/>
      <c r="C442" s="50"/>
      <c r="D442" s="40"/>
      <c r="E442" s="40"/>
      <c r="F442" s="1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4.25" customHeight="1">
      <c r="A443" s="40"/>
      <c r="B443" s="50"/>
      <c r="C443" s="50"/>
      <c r="D443" s="40"/>
      <c r="E443" s="40"/>
      <c r="F443" s="1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4.25" customHeight="1">
      <c r="A444" s="40"/>
      <c r="B444" s="50"/>
      <c r="C444" s="50"/>
      <c r="D444" s="40"/>
      <c r="E444" s="40"/>
      <c r="F444" s="1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4.25" customHeight="1">
      <c r="A445" s="40"/>
      <c r="B445" s="50"/>
      <c r="C445" s="50"/>
      <c r="D445" s="40"/>
      <c r="E445" s="40"/>
      <c r="F445" s="1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4.25" customHeight="1">
      <c r="A446" s="40"/>
      <c r="B446" s="50"/>
      <c r="C446" s="50"/>
      <c r="D446" s="40"/>
      <c r="E446" s="40"/>
      <c r="F446" s="1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4.25" customHeight="1">
      <c r="A447" s="40"/>
      <c r="B447" s="50"/>
      <c r="C447" s="50"/>
      <c r="D447" s="40"/>
      <c r="E447" s="40"/>
      <c r="F447" s="1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4.25" customHeight="1">
      <c r="A448" s="40"/>
      <c r="B448" s="50"/>
      <c r="C448" s="50"/>
      <c r="D448" s="40"/>
      <c r="E448" s="40"/>
      <c r="F448" s="1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4.25" customHeight="1">
      <c r="A449" s="40"/>
      <c r="B449" s="50"/>
      <c r="C449" s="50"/>
      <c r="D449" s="40"/>
      <c r="E449" s="40"/>
      <c r="F449" s="1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4.25" customHeight="1">
      <c r="A450" s="40"/>
      <c r="B450" s="50"/>
      <c r="C450" s="50"/>
      <c r="D450" s="40"/>
      <c r="E450" s="40"/>
      <c r="F450" s="1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4.25" customHeight="1">
      <c r="A451" s="40"/>
      <c r="B451" s="50"/>
      <c r="C451" s="50"/>
      <c r="D451" s="40"/>
      <c r="E451" s="40"/>
      <c r="F451" s="1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4.25" customHeight="1">
      <c r="A452" s="40"/>
      <c r="B452" s="50"/>
      <c r="C452" s="50"/>
      <c r="D452" s="40"/>
      <c r="E452" s="40"/>
      <c r="F452" s="1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4.25" customHeight="1">
      <c r="A453" s="40"/>
      <c r="B453" s="50"/>
      <c r="C453" s="50"/>
      <c r="D453" s="40"/>
      <c r="E453" s="40"/>
      <c r="F453" s="1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4.25" customHeight="1">
      <c r="A454" s="40"/>
      <c r="B454" s="50"/>
      <c r="C454" s="50"/>
      <c r="D454" s="40"/>
      <c r="E454" s="40"/>
      <c r="F454" s="1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4.25" customHeight="1">
      <c r="A455" s="40"/>
      <c r="B455" s="50"/>
      <c r="C455" s="50"/>
      <c r="D455" s="40"/>
      <c r="E455" s="40"/>
      <c r="F455" s="1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4.25" customHeight="1">
      <c r="A456" s="40"/>
      <c r="B456" s="50"/>
      <c r="C456" s="50"/>
      <c r="D456" s="40"/>
      <c r="E456" s="40"/>
      <c r="F456" s="1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4.25" customHeight="1">
      <c r="A457" s="40"/>
      <c r="B457" s="50"/>
      <c r="C457" s="50"/>
      <c r="D457" s="40"/>
      <c r="E457" s="40"/>
      <c r="F457" s="1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4.25" customHeight="1">
      <c r="A458" s="40"/>
      <c r="B458" s="50"/>
      <c r="C458" s="50"/>
      <c r="D458" s="40"/>
      <c r="E458" s="40"/>
      <c r="F458" s="1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4.25" customHeight="1">
      <c r="A459" s="40"/>
      <c r="B459" s="50"/>
      <c r="C459" s="50"/>
      <c r="D459" s="40"/>
      <c r="E459" s="40"/>
      <c r="F459" s="1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4.25" customHeight="1">
      <c r="A460" s="40"/>
      <c r="B460" s="50"/>
      <c r="C460" s="50"/>
      <c r="D460" s="40"/>
      <c r="E460" s="40"/>
      <c r="F460" s="1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4.25" customHeight="1">
      <c r="A461" s="40"/>
      <c r="B461" s="50"/>
      <c r="C461" s="50"/>
      <c r="D461" s="40"/>
      <c r="E461" s="40"/>
      <c r="F461" s="1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4.25" customHeight="1">
      <c r="A462" s="40"/>
      <c r="B462" s="50"/>
      <c r="C462" s="50"/>
      <c r="D462" s="40"/>
      <c r="E462" s="40"/>
      <c r="F462" s="1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4.25" customHeight="1">
      <c r="A463" s="40"/>
      <c r="B463" s="50"/>
      <c r="C463" s="50"/>
      <c r="D463" s="40"/>
      <c r="E463" s="40"/>
      <c r="F463" s="1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4.25" customHeight="1">
      <c r="A464" s="40"/>
      <c r="B464" s="50"/>
      <c r="C464" s="50"/>
      <c r="D464" s="40"/>
      <c r="E464" s="40"/>
      <c r="F464" s="1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4.25" customHeight="1">
      <c r="A465" s="40"/>
      <c r="B465" s="50"/>
      <c r="C465" s="50"/>
      <c r="D465" s="40"/>
      <c r="E465" s="40"/>
      <c r="F465" s="1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4.25" customHeight="1">
      <c r="A466" s="40"/>
      <c r="B466" s="50"/>
      <c r="C466" s="50"/>
      <c r="D466" s="40"/>
      <c r="E466" s="40"/>
      <c r="F466" s="1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4.25" customHeight="1">
      <c r="A467" s="40"/>
      <c r="B467" s="50"/>
      <c r="C467" s="50"/>
      <c r="D467" s="40"/>
      <c r="E467" s="40"/>
      <c r="F467" s="1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4.25" customHeight="1">
      <c r="A468" s="40"/>
      <c r="B468" s="50"/>
      <c r="C468" s="50"/>
      <c r="D468" s="40"/>
      <c r="E468" s="40"/>
      <c r="F468" s="1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4.25" customHeight="1">
      <c r="A469" s="40"/>
      <c r="B469" s="50"/>
      <c r="C469" s="50"/>
      <c r="D469" s="40"/>
      <c r="E469" s="40"/>
      <c r="F469" s="1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4.25" customHeight="1">
      <c r="A470" s="40"/>
      <c r="B470" s="50"/>
      <c r="C470" s="50"/>
      <c r="D470" s="40"/>
      <c r="E470" s="40"/>
      <c r="F470" s="1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4.25" customHeight="1">
      <c r="A471" s="40"/>
      <c r="B471" s="50"/>
      <c r="C471" s="50"/>
      <c r="D471" s="40"/>
      <c r="E471" s="40"/>
      <c r="F471" s="1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4.25" customHeight="1">
      <c r="A472" s="40"/>
      <c r="B472" s="50"/>
      <c r="C472" s="50"/>
      <c r="D472" s="40"/>
      <c r="E472" s="40"/>
      <c r="F472" s="1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4.25" customHeight="1">
      <c r="A473" s="40"/>
      <c r="B473" s="50"/>
      <c r="C473" s="50"/>
      <c r="D473" s="40"/>
      <c r="E473" s="40"/>
      <c r="F473" s="1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4.25" customHeight="1">
      <c r="A474" s="40"/>
      <c r="B474" s="50"/>
      <c r="C474" s="50"/>
      <c r="D474" s="40"/>
      <c r="E474" s="40"/>
      <c r="F474" s="1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4.25" customHeight="1">
      <c r="A475" s="40"/>
      <c r="B475" s="50"/>
      <c r="C475" s="50"/>
      <c r="D475" s="40"/>
      <c r="E475" s="40"/>
      <c r="F475" s="1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4.25" customHeight="1">
      <c r="A476" s="40"/>
      <c r="B476" s="50"/>
      <c r="C476" s="50"/>
      <c r="D476" s="40"/>
      <c r="E476" s="40"/>
      <c r="F476" s="1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4.25" customHeight="1">
      <c r="A477" s="40"/>
      <c r="B477" s="50"/>
      <c r="C477" s="50"/>
      <c r="D477" s="40"/>
      <c r="E477" s="40"/>
      <c r="F477" s="1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4.25" customHeight="1">
      <c r="A478" s="40"/>
      <c r="B478" s="50"/>
      <c r="C478" s="50"/>
      <c r="D478" s="40"/>
      <c r="E478" s="40"/>
      <c r="F478" s="1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4.25" customHeight="1">
      <c r="A479" s="40"/>
      <c r="B479" s="50"/>
      <c r="C479" s="50"/>
      <c r="D479" s="40"/>
      <c r="E479" s="40"/>
      <c r="F479" s="1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4.25" customHeight="1">
      <c r="A480" s="40"/>
      <c r="B480" s="50"/>
      <c r="C480" s="50"/>
      <c r="D480" s="40"/>
      <c r="E480" s="40"/>
      <c r="F480" s="1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4.25" customHeight="1">
      <c r="A481" s="40"/>
      <c r="B481" s="50"/>
      <c r="C481" s="50"/>
      <c r="D481" s="40"/>
      <c r="E481" s="40"/>
      <c r="F481" s="1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4.25" customHeight="1">
      <c r="A482" s="40"/>
      <c r="B482" s="50"/>
      <c r="C482" s="50"/>
      <c r="D482" s="40"/>
      <c r="E482" s="40"/>
      <c r="F482" s="1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4.25" customHeight="1">
      <c r="A483" s="40"/>
      <c r="B483" s="50"/>
      <c r="C483" s="50"/>
      <c r="D483" s="40"/>
      <c r="E483" s="40"/>
      <c r="F483" s="1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4.25" customHeight="1">
      <c r="A484" s="40"/>
      <c r="B484" s="50"/>
      <c r="C484" s="50"/>
      <c r="D484" s="40"/>
      <c r="E484" s="40"/>
      <c r="F484" s="1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4.25" customHeight="1">
      <c r="A485" s="40"/>
      <c r="B485" s="50"/>
      <c r="C485" s="50"/>
      <c r="D485" s="40"/>
      <c r="E485" s="40"/>
      <c r="F485" s="1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4.25" customHeight="1">
      <c r="A486" s="40"/>
      <c r="B486" s="50"/>
      <c r="C486" s="50"/>
      <c r="D486" s="40"/>
      <c r="E486" s="40"/>
      <c r="F486" s="1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4.25" customHeight="1">
      <c r="A487" s="40"/>
      <c r="B487" s="50"/>
      <c r="C487" s="50"/>
      <c r="D487" s="40"/>
      <c r="E487" s="40"/>
      <c r="F487" s="1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4.25" customHeight="1">
      <c r="A488" s="40"/>
      <c r="B488" s="50"/>
      <c r="C488" s="50"/>
      <c r="D488" s="40"/>
      <c r="E488" s="40"/>
      <c r="F488" s="1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4.25" customHeight="1">
      <c r="A489" s="40"/>
      <c r="B489" s="50"/>
      <c r="C489" s="50"/>
      <c r="D489" s="40"/>
      <c r="E489" s="40"/>
      <c r="F489" s="1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4.25" customHeight="1">
      <c r="A490" s="40"/>
      <c r="B490" s="50"/>
      <c r="C490" s="50"/>
      <c r="D490" s="40"/>
      <c r="E490" s="40"/>
      <c r="F490" s="1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4.25" customHeight="1">
      <c r="A491" s="40"/>
      <c r="B491" s="50"/>
      <c r="C491" s="50"/>
      <c r="D491" s="40"/>
      <c r="E491" s="40"/>
      <c r="F491" s="1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4.25" customHeight="1">
      <c r="A492" s="40"/>
      <c r="B492" s="50"/>
      <c r="C492" s="50"/>
      <c r="D492" s="40"/>
      <c r="E492" s="40"/>
      <c r="F492" s="1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4.25" customHeight="1">
      <c r="A493" s="40"/>
      <c r="B493" s="50"/>
      <c r="C493" s="50"/>
      <c r="D493" s="40"/>
      <c r="E493" s="40"/>
      <c r="F493" s="1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4.25" customHeight="1">
      <c r="A494" s="40"/>
      <c r="B494" s="50"/>
      <c r="C494" s="50"/>
      <c r="D494" s="40"/>
      <c r="E494" s="40"/>
      <c r="F494" s="1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4.25" customHeight="1">
      <c r="A495" s="40"/>
      <c r="B495" s="50"/>
      <c r="C495" s="50"/>
      <c r="D495" s="40"/>
      <c r="E495" s="40"/>
      <c r="F495" s="1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4.25" customHeight="1">
      <c r="A496" s="40"/>
      <c r="B496" s="50"/>
      <c r="C496" s="50"/>
      <c r="D496" s="40"/>
      <c r="E496" s="40"/>
      <c r="F496" s="1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4.25" customHeight="1">
      <c r="A497" s="40"/>
      <c r="B497" s="50"/>
      <c r="C497" s="50"/>
      <c r="D497" s="40"/>
      <c r="E497" s="40"/>
      <c r="F497" s="1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4.25" customHeight="1">
      <c r="A498" s="40"/>
      <c r="B498" s="50"/>
      <c r="C498" s="50"/>
      <c r="D498" s="40"/>
      <c r="E498" s="40"/>
      <c r="F498" s="1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4.25" customHeight="1">
      <c r="A499" s="40"/>
      <c r="B499" s="50"/>
      <c r="C499" s="50"/>
      <c r="D499" s="40"/>
      <c r="E499" s="40"/>
      <c r="F499" s="1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4.25" customHeight="1">
      <c r="A500" s="40"/>
      <c r="B500" s="50"/>
      <c r="C500" s="50"/>
      <c r="D500" s="40"/>
      <c r="E500" s="40"/>
      <c r="F500" s="1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4.25" customHeight="1">
      <c r="A501" s="40"/>
      <c r="B501" s="50"/>
      <c r="C501" s="50"/>
      <c r="D501" s="40"/>
      <c r="E501" s="40"/>
      <c r="F501" s="1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4.25" customHeight="1">
      <c r="A502" s="40"/>
      <c r="B502" s="50"/>
      <c r="C502" s="50"/>
      <c r="D502" s="40"/>
      <c r="E502" s="40"/>
      <c r="F502" s="1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4.25" customHeight="1">
      <c r="A503" s="40"/>
      <c r="B503" s="50"/>
      <c r="C503" s="50"/>
      <c r="D503" s="40"/>
      <c r="E503" s="40"/>
      <c r="F503" s="1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4.25" customHeight="1">
      <c r="A504" s="40"/>
      <c r="B504" s="50"/>
      <c r="C504" s="50"/>
      <c r="D504" s="40"/>
      <c r="E504" s="40"/>
      <c r="F504" s="1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4.25" customHeight="1">
      <c r="A505" s="40"/>
      <c r="B505" s="50"/>
      <c r="C505" s="50"/>
      <c r="D505" s="40"/>
      <c r="E505" s="40"/>
      <c r="F505" s="1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4.25" customHeight="1">
      <c r="A506" s="40"/>
      <c r="B506" s="50"/>
      <c r="C506" s="50"/>
      <c r="D506" s="40"/>
      <c r="E506" s="40"/>
      <c r="F506" s="1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4.25" customHeight="1">
      <c r="A507" s="40"/>
      <c r="B507" s="50"/>
      <c r="C507" s="50"/>
      <c r="D507" s="40"/>
      <c r="E507" s="40"/>
      <c r="F507" s="1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4.25" customHeight="1">
      <c r="A508" s="40"/>
      <c r="B508" s="50"/>
      <c r="C508" s="50"/>
      <c r="D508" s="40"/>
      <c r="E508" s="40"/>
      <c r="F508" s="1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4.25" customHeight="1">
      <c r="A509" s="40"/>
      <c r="B509" s="50"/>
      <c r="C509" s="50"/>
      <c r="D509" s="40"/>
      <c r="E509" s="40"/>
      <c r="F509" s="1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4.25" customHeight="1">
      <c r="A510" s="40"/>
      <c r="B510" s="50"/>
      <c r="C510" s="50"/>
      <c r="D510" s="40"/>
      <c r="E510" s="40"/>
      <c r="F510" s="1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4.25" customHeight="1">
      <c r="A511" s="40"/>
      <c r="B511" s="50"/>
      <c r="C511" s="50"/>
      <c r="D511" s="40"/>
      <c r="E511" s="40"/>
      <c r="F511" s="1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4.25" customHeight="1">
      <c r="A512" s="40"/>
      <c r="B512" s="50"/>
      <c r="C512" s="50"/>
      <c r="D512" s="40"/>
      <c r="E512" s="40"/>
      <c r="F512" s="1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4.25" customHeight="1">
      <c r="A513" s="40"/>
      <c r="B513" s="50"/>
      <c r="C513" s="50"/>
      <c r="D513" s="40"/>
      <c r="E513" s="40"/>
      <c r="F513" s="1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4.25" customHeight="1">
      <c r="A514" s="40"/>
      <c r="B514" s="50"/>
      <c r="C514" s="50"/>
      <c r="D514" s="40"/>
      <c r="E514" s="40"/>
      <c r="F514" s="1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4.25" customHeight="1">
      <c r="A515" s="40"/>
      <c r="B515" s="50"/>
      <c r="C515" s="50"/>
      <c r="D515" s="40"/>
      <c r="E515" s="40"/>
      <c r="F515" s="1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4.25" customHeight="1">
      <c r="A516" s="40"/>
      <c r="B516" s="50"/>
      <c r="C516" s="50"/>
      <c r="D516" s="40"/>
      <c r="E516" s="40"/>
      <c r="F516" s="1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4.25" customHeight="1">
      <c r="A517" s="40"/>
      <c r="B517" s="50"/>
      <c r="C517" s="50"/>
      <c r="D517" s="40"/>
      <c r="E517" s="40"/>
      <c r="F517" s="1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4.25" customHeight="1">
      <c r="A518" s="40"/>
      <c r="B518" s="50"/>
      <c r="C518" s="50"/>
      <c r="D518" s="40"/>
      <c r="E518" s="40"/>
      <c r="F518" s="1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4.25" customHeight="1">
      <c r="A519" s="40"/>
      <c r="B519" s="50"/>
      <c r="C519" s="50"/>
      <c r="D519" s="40"/>
      <c r="E519" s="40"/>
      <c r="F519" s="1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4.25" customHeight="1">
      <c r="A520" s="40"/>
      <c r="B520" s="50"/>
      <c r="C520" s="50"/>
      <c r="D520" s="40"/>
      <c r="E520" s="40"/>
      <c r="F520" s="1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4.25" customHeight="1">
      <c r="A521" s="40"/>
      <c r="B521" s="50"/>
      <c r="C521" s="50"/>
      <c r="D521" s="40"/>
      <c r="E521" s="40"/>
      <c r="F521" s="1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4.25" customHeight="1">
      <c r="A522" s="40"/>
      <c r="B522" s="50"/>
      <c r="C522" s="50"/>
      <c r="D522" s="40"/>
      <c r="E522" s="40"/>
      <c r="F522" s="1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4.25" customHeight="1">
      <c r="A523" s="40"/>
      <c r="B523" s="50"/>
      <c r="C523" s="50"/>
      <c r="D523" s="40"/>
      <c r="E523" s="40"/>
      <c r="F523" s="1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4.25" customHeight="1">
      <c r="A524" s="40"/>
      <c r="B524" s="50"/>
      <c r="C524" s="50"/>
      <c r="D524" s="40"/>
      <c r="E524" s="40"/>
      <c r="F524" s="1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4.25" customHeight="1">
      <c r="A525" s="40"/>
      <c r="B525" s="50"/>
      <c r="C525" s="50"/>
      <c r="D525" s="40"/>
      <c r="E525" s="40"/>
      <c r="F525" s="1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4.25" customHeight="1">
      <c r="A526" s="40"/>
      <c r="B526" s="50"/>
      <c r="C526" s="50"/>
      <c r="D526" s="40"/>
      <c r="E526" s="40"/>
      <c r="F526" s="1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4.25" customHeight="1">
      <c r="A527" s="40"/>
      <c r="B527" s="50"/>
      <c r="C527" s="50"/>
      <c r="D527" s="40"/>
      <c r="E527" s="40"/>
      <c r="F527" s="1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4.25" customHeight="1">
      <c r="A528" s="40"/>
      <c r="B528" s="50"/>
      <c r="C528" s="50"/>
      <c r="D528" s="40"/>
      <c r="E528" s="40"/>
      <c r="F528" s="1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4.25" customHeight="1">
      <c r="A529" s="40"/>
      <c r="B529" s="50"/>
      <c r="C529" s="50"/>
      <c r="D529" s="40"/>
      <c r="E529" s="40"/>
      <c r="F529" s="1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4.25" customHeight="1">
      <c r="A530" s="40"/>
      <c r="B530" s="50"/>
      <c r="C530" s="50"/>
      <c r="D530" s="40"/>
      <c r="E530" s="40"/>
      <c r="F530" s="1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4.25" customHeight="1">
      <c r="A531" s="40"/>
      <c r="B531" s="50"/>
      <c r="C531" s="50"/>
      <c r="D531" s="40"/>
      <c r="E531" s="40"/>
      <c r="F531" s="1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4.25" customHeight="1">
      <c r="A532" s="40"/>
      <c r="B532" s="50"/>
      <c r="C532" s="50"/>
      <c r="D532" s="40"/>
      <c r="E532" s="40"/>
      <c r="F532" s="1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4.25" customHeight="1">
      <c r="A533" s="40"/>
      <c r="B533" s="50"/>
      <c r="C533" s="50"/>
      <c r="D533" s="40"/>
      <c r="E533" s="40"/>
      <c r="F533" s="1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4.25" customHeight="1">
      <c r="A534" s="40"/>
      <c r="B534" s="50"/>
      <c r="C534" s="50"/>
      <c r="D534" s="40"/>
      <c r="E534" s="40"/>
      <c r="F534" s="1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4.25" customHeight="1">
      <c r="A535" s="40"/>
      <c r="B535" s="50"/>
      <c r="C535" s="50"/>
      <c r="D535" s="40"/>
      <c r="E535" s="40"/>
      <c r="F535" s="1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4.25" customHeight="1">
      <c r="A536" s="40"/>
      <c r="B536" s="50"/>
      <c r="C536" s="50"/>
      <c r="D536" s="40"/>
      <c r="E536" s="40"/>
      <c r="F536" s="1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4.25" customHeight="1">
      <c r="A537" s="40"/>
      <c r="B537" s="50"/>
      <c r="C537" s="50"/>
      <c r="D537" s="40"/>
      <c r="E537" s="40"/>
      <c r="F537" s="1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4.25" customHeight="1">
      <c r="A538" s="40"/>
      <c r="B538" s="50"/>
      <c r="C538" s="50"/>
      <c r="D538" s="40"/>
      <c r="E538" s="40"/>
      <c r="F538" s="1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4.25" customHeight="1">
      <c r="A539" s="40"/>
      <c r="B539" s="50"/>
      <c r="C539" s="50"/>
      <c r="D539" s="40"/>
      <c r="E539" s="40"/>
      <c r="F539" s="1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4.25" customHeight="1">
      <c r="A540" s="40"/>
      <c r="B540" s="50"/>
      <c r="C540" s="50"/>
      <c r="D540" s="40"/>
      <c r="E540" s="40"/>
      <c r="F540" s="1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4.25" customHeight="1">
      <c r="A541" s="40"/>
      <c r="B541" s="50"/>
      <c r="C541" s="50"/>
      <c r="D541" s="40"/>
      <c r="E541" s="40"/>
      <c r="F541" s="1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4.25" customHeight="1">
      <c r="A542" s="40"/>
      <c r="B542" s="50"/>
      <c r="C542" s="50"/>
      <c r="D542" s="40"/>
      <c r="E542" s="40"/>
      <c r="F542" s="1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4.25" customHeight="1">
      <c r="A543" s="40"/>
      <c r="B543" s="50"/>
      <c r="C543" s="50"/>
      <c r="D543" s="40"/>
      <c r="E543" s="40"/>
      <c r="F543" s="1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4.25" customHeight="1">
      <c r="A544" s="40"/>
      <c r="B544" s="50"/>
      <c r="C544" s="50"/>
      <c r="D544" s="40"/>
      <c r="E544" s="40"/>
      <c r="F544" s="1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4.25" customHeight="1">
      <c r="A545" s="40"/>
      <c r="B545" s="50"/>
      <c r="C545" s="50"/>
      <c r="D545" s="40"/>
      <c r="E545" s="40"/>
      <c r="F545" s="1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4.25" customHeight="1">
      <c r="A546" s="40"/>
      <c r="B546" s="50"/>
      <c r="C546" s="50"/>
      <c r="D546" s="40"/>
      <c r="E546" s="40"/>
      <c r="F546" s="1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4.25" customHeight="1">
      <c r="A547" s="40"/>
      <c r="B547" s="50"/>
      <c r="C547" s="50"/>
      <c r="D547" s="40"/>
      <c r="E547" s="40"/>
      <c r="F547" s="1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4.25" customHeight="1">
      <c r="A548" s="40"/>
      <c r="B548" s="50"/>
      <c r="C548" s="50"/>
      <c r="D548" s="40"/>
      <c r="E548" s="40"/>
      <c r="F548" s="1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4.25" customHeight="1">
      <c r="A549" s="40"/>
      <c r="B549" s="50"/>
      <c r="C549" s="50"/>
      <c r="D549" s="40"/>
      <c r="E549" s="40"/>
      <c r="F549" s="1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4.25" customHeight="1">
      <c r="A550" s="40"/>
      <c r="B550" s="50"/>
      <c r="C550" s="50"/>
      <c r="D550" s="40"/>
      <c r="E550" s="40"/>
      <c r="F550" s="1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4.25" customHeight="1">
      <c r="A551" s="40"/>
      <c r="B551" s="50"/>
      <c r="C551" s="50"/>
      <c r="D551" s="40"/>
      <c r="E551" s="40"/>
      <c r="F551" s="1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4.25" customHeight="1">
      <c r="A552" s="40"/>
      <c r="B552" s="50"/>
      <c r="C552" s="50"/>
      <c r="D552" s="40"/>
      <c r="E552" s="40"/>
      <c r="F552" s="1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4.25" customHeight="1">
      <c r="A553" s="40"/>
      <c r="B553" s="50"/>
      <c r="C553" s="50"/>
      <c r="D553" s="40"/>
      <c r="E553" s="40"/>
      <c r="F553" s="1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4.25" customHeight="1">
      <c r="A554" s="40"/>
      <c r="B554" s="50"/>
      <c r="C554" s="50"/>
      <c r="D554" s="40"/>
      <c r="E554" s="40"/>
      <c r="F554" s="1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4.25" customHeight="1">
      <c r="A555" s="40"/>
      <c r="B555" s="50"/>
      <c r="C555" s="50"/>
      <c r="D555" s="40"/>
      <c r="E555" s="40"/>
      <c r="F555" s="1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4.25" customHeight="1">
      <c r="A556" s="40"/>
      <c r="B556" s="50"/>
      <c r="C556" s="50"/>
      <c r="D556" s="40"/>
      <c r="E556" s="40"/>
      <c r="F556" s="1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4.25" customHeight="1">
      <c r="A557" s="40"/>
      <c r="B557" s="50"/>
      <c r="C557" s="50"/>
      <c r="D557" s="40"/>
      <c r="E557" s="40"/>
      <c r="F557" s="1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4.25" customHeight="1">
      <c r="A558" s="40"/>
      <c r="B558" s="50"/>
      <c r="C558" s="50"/>
      <c r="D558" s="40"/>
      <c r="E558" s="40"/>
      <c r="F558" s="1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4.25" customHeight="1">
      <c r="A559" s="40"/>
      <c r="B559" s="50"/>
      <c r="C559" s="50"/>
      <c r="D559" s="40"/>
      <c r="E559" s="40"/>
      <c r="F559" s="1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4.25" customHeight="1">
      <c r="A560" s="40"/>
      <c r="B560" s="50"/>
      <c r="C560" s="50"/>
      <c r="D560" s="40"/>
      <c r="E560" s="40"/>
      <c r="F560" s="1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4.25" customHeight="1">
      <c r="A561" s="40"/>
      <c r="B561" s="50"/>
      <c r="C561" s="50"/>
      <c r="D561" s="40"/>
      <c r="E561" s="40"/>
      <c r="F561" s="1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4.25" customHeight="1">
      <c r="A562" s="40"/>
      <c r="B562" s="50"/>
      <c r="C562" s="50"/>
      <c r="D562" s="40"/>
      <c r="E562" s="40"/>
      <c r="F562" s="1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4.25" customHeight="1">
      <c r="A563" s="40"/>
      <c r="B563" s="50"/>
      <c r="C563" s="50"/>
      <c r="D563" s="40"/>
      <c r="E563" s="40"/>
      <c r="F563" s="1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4.25" customHeight="1">
      <c r="A564" s="40"/>
      <c r="B564" s="50"/>
      <c r="C564" s="50"/>
      <c r="D564" s="40"/>
      <c r="E564" s="40"/>
      <c r="F564" s="1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4.25" customHeight="1">
      <c r="A565" s="40"/>
      <c r="B565" s="50"/>
      <c r="C565" s="50"/>
      <c r="D565" s="40"/>
      <c r="E565" s="40"/>
      <c r="F565" s="1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4.25" customHeight="1">
      <c r="A566" s="40"/>
      <c r="B566" s="50"/>
      <c r="C566" s="50"/>
      <c r="D566" s="40"/>
      <c r="E566" s="40"/>
      <c r="F566" s="1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4.25" customHeight="1">
      <c r="A567" s="40"/>
      <c r="B567" s="50"/>
      <c r="C567" s="50"/>
      <c r="D567" s="40"/>
      <c r="E567" s="40"/>
      <c r="F567" s="1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4.25" customHeight="1">
      <c r="A568" s="40"/>
      <c r="B568" s="50"/>
      <c r="C568" s="50"/>
      <c r="D568" s="40"/>
      <c r="E568" s="40"/>
      <c r="F568" s="1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4.25" customHeight="1">
      <c r="A569" s="40"/>
      <c r="B569" s="50"/>
      <c r="C569" s="50"/>
      <c r="D569" s="40"/>
      <c r="E569" s="40"/>
      <c r="F569" s="1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4.25" customHeight="1">
      <c r="A570" s="40"/>
      <c r="B570" s="50"/>
      <c r="C570" s="50"/>
      <c r="D570" s="40"/>
      <c r="E570" s="40"/>
      <c r="F570" s="1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4.25" customHeight="1">
      <c r="A571" s="40"/>
      <c r="B571" s="50"/>
      <c r="C571" s="50"/>
      <c r="D571" s="40"/>
      <c r="E571" s="40"/>
      <c r="F571" s="1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4.25" customHeight="1">
      <c r="A572" s="40"/>
      <c r="B572" s="50"/>
      <c r="C572" s="50"/>
      <c r="D572" s="40"/>
      <c r="E572" s="40"/>
      <c r="F572" s="1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4.25" customHeight="1">
      <c r="A573" s="40"/>
      <c r="B573" s="50"/>
      <c r="C573" s="50"/>
      <c r="D573" s="40"/>
      <c r="E573" s="40"/>
      <c r="F573" s="1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4.25" customHeight="1">
      <c r="A574" s="40"/>
      <c r="B574" s="50"/>
      <c r="C574" s="50"/>
      <c r="D574" s="40"/>
      <c r="E574" s="40"/>
      <c r="F574" s="1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4.25" customHeight="1">
      <c r="A575" s="40"/>
      <c r="B575" s="50"/>
      <c r="C575" s="50"/>
      <c r="D575" s="40"/>
      <c r="E575" s="40"/>
      <c r="F575" s="1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4.25" customHeight="1">
      <c r="A576" s="40"/>
      <c r="B576" s="50"/>
      <c r="C576" s="50"/>
      <c r="D576" s="40"/>
      <c r="E576" s="40"/>
      <c r="F576" s="1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4.25" customHeight="1">
      <c r="A577" s="40"/>
      <c r="B577" s="50"/>
      <c r="C577" s="50"/>
      <c r="D577" s="40"/>
      <c r="E577" s="40"/>
      <c r="F577" s="1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4.25" customHeight="1">
      <c r="A578" s="40"/>
      <c r="B578" s="50"/>
      <c r="C578" s="50"/>
      <c r="D578" s="40"/>
      <c r="E578" s="40"/>
      <c r="F578" s="1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4.25" customHeight="1">
      <c r="A579" s="40"/>
      <c r="B579" s="50"/>
      <c r="C579" s="50"/>
      <c r="D579" s="40"/>
      <c r="E579" s="40"/>
      <c r="F579" s="1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4.25" customHeight="1">
      <c r="A580" s="40"/>
      <c r="B580" s="50"/>
      <c r="C580" s="50"/>
      <c r="D580" s="40"/>
      <c r="E580" s="40"/>
      <c r="F580" s="1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4.25" customHeight="1">
      <c r="A581" s="40"/>
      <c r="B581" s="50"/>
      <c r="C581" s="50"/>
      <c r="D581" s="40"/>
      <c r="E581" s="40"/>
      <c r="F581" s="1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4.25" customHeight="1">
      <c r="A582" s="40"/>
      <c r="B582" s="50"/>
      <c r="C582" s="50"/>
      <c r="D582" s="40"/>
      <c r="E582" s="40"/>
      <c r="F582" s="1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4.25" customHeight="1">
      <c r="A583" s="40"/>
      <c r="B583" s="50"/>
      <c r="C583" s="50"/>
      <c r="D583" s="40"/>
      <c r="E583" s="40"/>
      <c r="F583" s="1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4.25" customHeight="1">
      <c r="A584" s="40"/>
      <c r="B584" s="50"/>
      <c r="C584" s="50"/>
      <c r="D584" s="40"/>
      <c r="E584" s="40"/>
      <c r="F584" s="1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4.25" customHeight="1">
      <c r="A585" s="40"/>
      <c r="B585" s="50"/>
      <c r="C585" s="50"/>
      <c r="D585" s="40"/>
      <c r="E585" s="40"/>
      <c r="F585" s="1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4.25" customHeight="1">
      <c r="A586" s="40"/>
      <c r="B586" s="50"/>
      <c r="C586" s="50"/>
      <c r="D586" s="40"/>
      <c r="E586" s="40"/>
      <c r="F586" s="1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4.25" customHeight="1">
      <c r="A587" s="40"/>
      <c r="B587" s="50"/>
      <c r="C587" s="50"/>
      <c r="D587" s="40"/>
      <c r="E587" s="40"/>
      <c r="F587" s="1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4.25" customHeight="1">
      <c r="A588" s="40"/>
      <c r="B588" s="50"/>
      <c r="C588" s="50"/>
      <c r="D588" s="40"/>
      <c r="E588" s="40"/>
      <c r="F588" s="1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4.25" customHeight="1">
      <c r="A589" s="40"/>
      <c r="B589" s="50"/>
      <c r="C589" s="50"/>
      <c r="D589" s="40"/>
      <c r="E589" s="40"/>
      <c r="F589" s="1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4.25" customHeight="1">
      <c r="A590" s="40"/>
      <c r="B590" s="50"/>
      <c r="C590" s="50"/>
      <c r="D590" s="40"/>
      <c r="E590" s="40"/>
      <c r="F590" s="1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4.25" customHeight="1">
      <c r="A591" s="40"/>
      <c r="B591" s="50"/>
      <c r="C591" s="50"/>
      <c r="D591" s="40"/>
      <c r="E591" s="40"/>
      <c r="F591" s="1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4.25" customHeight="1">
      <c r="A592" s="40"/>
      <c r="B592" s="50"/>
      <c r="C592" s="50"/>
      <c r="D592" s="40"/>
      <c r="E592" s="40"/>
      <c r="F592" s="1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4.25" customHeight="1">
      <c r="A593" s="40"/>
      <c r="B593" s="50"/>
      <c r="C593" s="50"/>
      <c r="D593" s="40"/>
      <c r="E593" s="40"/>
      <c r="F593" s="1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4.25" customHeight="1">
      <c r="A594" s="40"/>
      <c r="B594" s="50"/>
      <c r="C594" s="50"/>
      <c r="D594" s="40"/>
      <c r="E594" s="40"/>
      <c r="F594" s="1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4.25" customHeight="1">
      <c r="A595" s="40"/>
      <c r="B595" s="50"/>
      <c r="C595" s="50"/>
      <c r="D595" s="40"/>
      <c r="E595" s="40"/>
      <c r="F595" s="1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4.25" customHeight="1">
      <c r="A596" s="40"/>
      <c r="B596" s="50"/>
      <c r="C596" s="50"/>
      <c r="D596" s="40"/>
      <c r="E596" s="40"/>
      <c r="F596" s="1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4.25" customHeight="1">
      <c r="A597" s="40"/>
      <c r="B597" s="50"/>
      <c r="C597" s="50"/>
      <c r="D597" s="40"/>
      <c r="E597" s="40"/>
      <c r="F597" s="1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4.25" customHeight="1">
      <c r="A598" s="40"/>
      <c r="B598" s="50"/>
      <c r="C598" s="50"/>
      <c r="D598" s="40"/>
      <c r="E598" s="40"/>
      <c r="F598" s="1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4.25" customHeight="1">
      <c r="A599" s="40"/>
      <c r="B599" s="50"/>
      <c r="C599" s="50"/>
      <c r="D599" s="40"/>
      <c r="E599" s="40"/>
      <c r="F599" s="1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4.25" customHeight="1">
      <c r="A600" s="40"/>
      <c r="B600" s="50"/>
      <c r="C600" s="50"/>
      <c r="D600" s="40"/>
      <c r="E600" s="40"/>
      <c r="F600" s="1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4.25" customHeight="1">
      <c r="A601" s="40"/>
      <c r="B601" s="50"/>
      <c r="C601" s="50"/>
      <c r="D601" s="40"/>
      <c r="E601" s="40"/>
      <c r="F601" s="1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4.25" customHeight="1">
      <c r="A602" s="40"/>
      <c r="B602" s="50"/>
      <c r="C602" s="50"/>
      <c r="D602" s="40"/>
      <c r="E602" s="40"/>
      <c r="F602" s="1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4.25" customHeight="1">
      <c r="A603" s="40"/>
      <c r="B603" s="50"/>
      <c r="C603" s="50"/>
      <c r="D603" s="40"/>
      <c r="E603" s="40"/>
      <c r="F603" s="1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4.25" customHeight="1">
      <c r="A604" s="40"/>
      <c r="B604" s="50"/>
      <c r="C604" s="50"/>
      <c r="D604" s="40"/>
      <c r="E604" s="40"/>
      <c r="F604" s="1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4.25" customHeight="1">
      <c r="A605" s="40"/>
      <c r="B605" s="50"/>
      <c r="C605" s="50"/>
      <c r="D605" s="40"/>
      <c r="E605" s="40"/>
      <c r="F605" s="1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4.25" customHeight="1">
      <c r="A606" s="40"/>
      <c r="B606" s="50"/>
      <c r="C606" s="50"/>
      <c r="D606" s="40"/>
      <c r="E606" s="40"/>
      <c r="F606" s="1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4.25" customHeight="1">
      <c r="A607" s="40"/>
      <c r="B607" s="50"/>
      <c r="C607" s="50"/>
      <c r="D607" s="40"/>
      <c r="E607" s="40"/>
      <c r="F607" s="1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4.25" customHeight="1">
      <c r="A608" s="40"/>
      <c r="B608" s="50"/>
      <c r="C608" s="50"/>
      <c r="D608" s="40"/>
      <c r="E608" s="40"/>
      <c r="F608" s="1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4.25" customHeight="1">
      <c r="A609" s="40"/>
      <c r="B609" s="50"/>
      <c r="C609" s="50"/>
      <c r="D609" s="40"/>
      <c r="E609" s="40"/>
      <c r="F609" s="1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4.25" customHeight="1">
      <c r="A610" s="40"/>
      <c r="B610" s="50"/>
      <c r="C610" s="50"/>
      <c r="D610" s="40"/>
      <c r="E610" s="40"/>
      <c r="F610" s="1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4.25" customHeight="1">
      <c r="A611" s="40"/>
      <c r="B611" s="50"/>
      <c r="C611" s="50"/>
      <c r="D611" s="40"/>
      <c r="E611" s="40"/>
      <c r="F611" s="1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4.25" customHeight="1">
      <c r="A612" s="40"/>
      <c r="B612" s="50"/>
      <c r="C612" s="50"/>
      <c r="D612" s="40"/>
      <c r="E612" s="40"/>
      <c r="F612" s="1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4.25" customHeight="1">
      <c r="A613" s="40"/>
      <c r="B613" s="50"/>
      <c r="C613" s="50"/>
      <c r="D613" s="40"/>
      <c r="E613" s="40"/>
      <c r="F613" s="1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4.25" customHeight="1">
      <c r="A614" s="40"/>
      <c r="B614" s="50"/>
      <c r="C614" s="50"/>
      <c r="D614" s="40"/>
      <c r="E614" s="40"/>
      <c r="F614" s="1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4.25" customHeight="1">
      <c r="A615" s="40"/>
      <c r="B615" s="50"/>
      <c r="C615" s="50"/>
      <c r="D615" s="40"/>
      <c r="E615" s="40"/>
      <c r="F615" s="1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4.25" customHeight="1">
      <c r="A616" s="40"/>
      <c r="B616" s="50"/>
      <c r="C616" s="50"/>
      <c r="D616" s="40"/>
      <c r="E616" s="40"/>
      <c r="F616" s="1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4.25" customHeight="1">
      <c r="A617" s="40"/>
      <c r="B617" s="50"/>
      <c r="C617" s="50"/>
      <c r="D617" s="40"/>
      <c r="E617" s="40"/>
      <c r="F617" s="1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4.25" customHeight="1">
      <c r="A618" s="40"/>
      <c r="B618" s="50"/>
      <c r="C618" s="50"/>
      <c r="D618" s="40"/>
      <c r="E618" s="40"/>
      <c r="F618" s="1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4.25" customHeight="1">
      <c r="A619" s="40"/>
      <c r="B619" s="50"/>
      <c r="C619" s="50"/>
      <c r="D619" s="40"/>
      <c r="E619" s="40"/>
      <c r="F619" s="1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4.25" customHeight="1">
      <c r="A620" s="40"/>
      <c r="B620" s="50"/>
      <c r="C620" s="50"/>
      <c r="D620" s="40"/>
      <c r="E620" s="40"/>
      <c r="F620" s="1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4.25" customHeight="1">
      <c r="A621" s="40"/>
      <c r="B621" s="50"/>
      <c r="C621" s="50"/>
      <c r="D621" s="40"/>
      <c r="E621" s="40"/>
      <c r="F621" s="1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4.25" customHeight="1">
      <c r="A622" s="40"/>
      <c r="B622" s="50"/>
      <c r="C622" s="50"/>
      <c r="D622" s="40"/>
      <c r="E622" s="40"/>
      <c r="F622" s="1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4.25" customHeight="1">
      <c r="A623" s="40"/>
      <c r="B623" s="50"/>
      <c r="C623" s="50"/>
      <c r="D623" s="40"/>
      <c r="E623" s="40"/>
      <c r="F623" s="1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4.25" customHeight="1">
      <c r="A624" s="40"/>
      <c r="B624" s="50"/>
      <c r="C624" s="50"/>
      <c r="D624" s="40"/>
      <c r="E624" s="40"/>
      <c r="F624" s="1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4.25" customHeight="1">
      <c r="A625" s="40"/>
      <c r="B625" s="50"/>
      <c r="C625" s="50"/>
      <c r="D625" s="40"/>
      <c r="E625" s="40"/>
      <c r="F625" s="1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4.25" customHeight="1">
      <c r="A626" s="40"/>
      <c r="B626" s="50"/>
      <c r="C626" s="50"/>
      <c r="D626" s="40"/>
      <c r="E626" s="40"/>
      <c r="F626" s="1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4.25" customHeight="1">
      <c r="A627" s="40"/>
      <c r="B627" s="50"/>
      <c r="C627" s="50"/>
      <c r="D627" s="40"/>
      <c r="E627" s="40"/>
      <c r="F627" s="1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4.25" customHeight="1">
      <c r="A628" s="40"/>
      <c r="B628" s="50"/>
      <c r="C628" s="50"/>
      <c r="D628" s="40"/>
      <c r="E628" s="40"/>
      <c r="F628" s="1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4.25" customHeight="1">
      <c r="A629" s="40"/>
      <c r="B629" s="50"/>
      <c r="C629" s="50"/>
      <c r="D629" s="40"/>
      <c r="E629" s="40"/>
      <c r="F629" s="1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4.25" customHeight="1">
      <c r="A630" s="40"/>
      <c r="B630" s="50"/>
      <c r="C630" s="50"/>
      <c r="D630" s="40"/>
      <c r="E630" s="40"/>
      <c r="F630" s="1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4.25" customHeight="1">
      <c r="A631" s="40"/>
      <c r="B631" s="50"/>
      <c r="C631" s="50"/>
      <c r="D631" s="40"/>
      <c r="E631" s="40"/>
      <c r="F631" s="1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4.25" customHeight="1">
      <c r="A632" s="40"/>
      <c r="B632" s="50"/>
      <c r="C632" s="50"/>
      <c r="D632" s="40"/>
      <c r="E632" s="40"/>
      <c r="F632" s="1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4.25" customHeight="1">
      <c r="A633" s="40"/>
      <c r="B633" s="50"/>
      <c r="C633" s="50"/>
      <c r="D633" s="40"/>
      <c r="E633" s="40"/>
      <c r="F633" s="1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4.25" customHeight="1">
      <c r="A634" s="40"/>
      <c r="B634" s="50"/>
      <c r="C634" s="50"/>
      <c r="D634" s="40"/>
      <c r="E634" s="40"/>
      <c r="F634" s="1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4.25" customHeight="1">
      <c r="A635" s="40"/>
      <c r="B635" s="50"/>
      <c r="C635" s="50"/>
      <c r="D635" s="40"/>
      <c r="E635" s="40"/>
      <c r="F635" s="1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4.25" customHeight="1">
      <c r="A636" s="40"/>
      <c r="B636" s="50"/>
      <c r="C636" s="50"/>
      <c r="D636" s="40"/>
      <c r="E636" s="40"/>
      <c r="F636" s="1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4.25" customHeight="1">
      <c r="A637" s="40"/>
      <c r="B637" s="50"/>
      <c r="C637" s="50"/>
      <c r="D637" s="40"/>
      <c r="E637" s="40"/>
      <c r="F637" s="1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4.25" customHeight="1">
      <c r="A638" s="40"/>
      <c r="B638" s="50"/>
      <c r="C638" s="50"/>
      <c r="D638" s="40"/>
      <c r="E638" s="40"/>
      <c r="F638" s="1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4.25" customHeight="1">
      <c r="A639" s="40"/>
      <c r="B639" s="50"/>
      <c r="C639" s="50"/>
      <c r="D639" s="40"/>
      <c r="E639" s="40"/>
      <c r="F639" s="1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4.25" customHeight="1">
      <c r="A640" s="40"/>
      <c r="B640" s="50"/>
      <c r="C640" s="50"/>
      <c r="D640" s="40"/>
      <c r="E640" s="40"/>
      <c r="F640" s="1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4.25" customHeight="1">
      <c r="A641" s="40"/>
      <c r="B641" s="50"/>
      <c r="C641" s="50"/>
      <c r="D641" s="40"/>
      <c r="E641" s="40"/>
      <c r="F641" s="1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4.25" customHeight="1">
      <c r="A642" s="40"/>
      <c r="B642" s="50"/>
      <c r="C642" s="50"/>
      <c r="D642" s="40"/>
      <c r="E642" s="40"/>
      <c r="F642" s="1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4.25" customHeight="1">
      <c r="A643" s="40"/>
      <c r="B643" s="50"/>
      <c r="C643" s="50"/>
      <c r="D643" s="40"/>
      <c r="E643" s="40"/>
      <c r="F643" s="1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4.25" customHeight="1">
      <c r="A644" s="40"/>
      <c r="B644" s="50"/>
      <c r="C644" s="50"/>
      <c r="D644" s="40"/>
      <c r="E644" s="40"/>
      <c r="F644" s="1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4.25" customHeight="1">
      <c r="A645" s="40"/>
      <c r="B645" s="50"/>
      <c r="C645" s="50"/>
      <c r="D645" s="40"/>
      <c r="E645" s="40"/>
      <c r="F645" s="1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4.25" customHeight="1">
      <c r="A646" s="40"/>
      <c r="B646" s="50"/>
      <c r="C646" s="50"/>
      <c r="D646" s="40"/>
      <c r="E646" s="40"/>
      <c r="F646" s="1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4.25" customHeight="1">
      <c r="A647" s="40"/>
      <c r="B647" s="50"/>
      <c r="C647" s="50"/>
      <c r="D647" s="40"/>
      <c r="E647" s="40"/>
      <c r="F647" s="1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4.25" customHeight="1">
      <c r="A648" s="40"/>
      <c r="B648" s="50"/>
      <c r="C648" s="50"/>
      <c r="D648" s="40"/>
      <c r="E648" s="40"/>
      <c r="F648" s="1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4.25" customHeight="1">
      <c r="A649" s="40"/>
      <c r="B649" s="50"/>
      <c r="C649" s="50"/>
      <c r="D649" s="40"/>
      <c r="E649" s="40"/>
      <c r="F649" s="1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4.25" customHeight="1">
      <c r="A650" s="40"/>
      <c r="B650" s="50"/>
      <c r="C650" s="50"/>
      <c r="D650" s="40"/>
      <c r="E650" s="40"/>
      <c r="F650" s="1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4.25" customHeight="1">
      <c r="A651" s="40"/>
      <c r="B651" s="50"/>
      <c r="C651" s="50"/>
      <c r="D651" s="40"/>
      <c r="E651" s="40"/>
      <c r="F651" s="1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4.25" customHeight="1">
      <c r="A652" s="40"/>
      <c r="B652" s="50"/>
      <c r="C652" s="50"/>
      <c r="D652" s="40"/>
      <c r="E652" s="40"/>
      <c r="F652" s="1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4.25" customHeight="1">
      <c r="A653" s="40"/>
      <c r="B653" s="50"/>
      <c r="C653" s="50"/>
      <c r="D653" s="40"/>
      <c r="E653" s="40"/>
      <c r="F653" s="1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4.25" customHeight="1">
      <c r="A654" s="40"/>
      <c r="B654" s="50"/>
      <c r="C654" s="50"/>
      <c r="D654" s="40"/>
      <c r="E654" s="40"/>
      <c r="F654" s="1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4.25" customHeight="1">
      <c r="A655" s="40"/>
      <c r="B655" s="50"/>
      <c r="C655" s="50"/>
      <c r="D655" s="40"/>
      <c r="E655" s="40"/>
      <c r="F655" s="1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4.25" customHeight="1">
      <c r="A656" s="40"/>
      <c r="B656" s="50"/>
      <c r="C656" s="50"/>
      <c r="D656" s="40"/>
      <c r="E656" s="40"/>
      <c r="F656" s="1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4.25" customHeight="1">
      <c r="A657" s="40"/>
      <c r="B657" s="50"/>
      <c r="C657" s="50"/>
      <c r="D657" s="40"/>
      <c r="E657" s="40"/>
      <c r="F657" s="1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4.25" customHeight="1">
      <c r="A658" s="40"/>
      <c r="B658" s="50"/>
      <c r="C658" s="50"/>
      <c r="D658" s="40"/>
      <c r="E658" s="40"/>
      <c r="F658" s="1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4.25" customHeight="1">
      <c r="A659" s="40"/>
      <c r="B659" s="50"/>
      <c r="C659" s="50"/>
      <c r="D659" s="40"/>
      <c r="E659" s="40"/>
      <c r="F659" s="1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4.25" customHeight="1">
      <c r="A660" s="40"/>
      <c r="B660" s="50"/>
      <c r="C660" s="50"/>
      <c r="D660" s="40"/>
      <c r="E660" s="40"/>
      <c r="F660" s="1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4.25" customHeight="1">
      <c r="A661" s="40"/>
      <c r="B661" s="50"/>
      <c r="C661" s="50"/>
      <c r="D661" s="40"/>
      <c r="E661" s="40"/>
      <c r="F661" s="1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4.25" customHeight="1">
      <c r="A662" s="40"/>
      <c r="B662" s="50"/>
      <c r="C662" s="50"/>
      <c r="D662" s="40"/>
      <c r="E662" s="40"/>
      <c r="F662" s="1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4.25" customHeight="1">
      <c r="A663" s="40"/>
      <c r="B663" s="50"/>
      <c r="C663" s="50"/>
      <c r="D663" s="40"/>
      <c r="E663" s="40"/>
      <c r="F663" s="1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4.25" customHeight="1">
      <c r="A664" s="40"/>
      <c r="B664" s="50"/>
      <c r="C664" s="50"/>
      <c r="D664" s="40"/>
      <c r="E664" s="40"/>
      <c r="F664" s="1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4.25" customHeight="1">
      <c r="A665" s="40"/>
      <c r="B665" s="50"/>
      <c r="C665" s="50"/>
      <c r="D665" s="40"/>
      <c r="E665" s="40"/>
      <c r="F665" s="1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4.25" customHeight="1">
      <c r="A666" s="40"/>
      <c r="B666" s="50"/>
      <c r="C666" s="50"/>
      <c r="D666" s="40"/>
      <c r="E666" s="40"/>
      <c r="F666" s="1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4.25" customHeight="1">
      <c r="A667" s="40"/>
      <c r="B667" s="50"/>
      <c r="C667" s="50"/>
      <c r="D667" s="40"/>
      <c r="E667" s="40"/>
      <c r="F667" s="1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4.25" customHeight="1">
      <c r="A668" s="40"/>
      <c r="B668" s="50"/>
      <c r="C668" s="50"/>
      <c r="D668" s="40"/>
      <c r="E668" s="40"/>
      <c r="F668" s="1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4.25" customHeight="1">
      <c r="A669" s="40"/>
      <c r="B669" s="50"/>
      <c r="C669" s="50"/>
      <c r="D669" s="40"/>
      <c r="E669" s="40"/>
      <c r="F669" s="1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4.25" customHeight="1">
      <c r="A670" s="40"/>
      <c r="B670" s="50"/>
      <c r="C670" s="50"/>
      <c r="D670" s="40"/>
      <c r="E670" s="40"/>
      <c r="F670" s="1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4.25" customHeight="1">
      <c r="A671" s="40"/>
      <c r="B671" s="50"/>
      <c r="C671" s="50"/>
      <c r="D671" s="40"/>
      <c r="E671" s="40"/>
      <c r="F671" s="1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4.25" customHeight="1">
      <c r="A672" s="40"/>
      <c r="B672" s="50"/>
      <c r="C672" s="50"/>
      <c r="D672" s="40"/>
      <c r="E672" s="40"/>
      <c r="F672" s="1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4.25" customHeight="1">
      <c r="A673" s="40"/>
      <c r="B673" s="50"/>
      <c r="C673" s="50"/>
      <c r="D673" s="40"/>
      <c r="E673" s="40"/>
      <c r="F673" s="1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4.25" customHeight="1">
      <c r="A674" s="40"/>
      <c r="B674" s="50"/>
      <c r="C674" s="50"/>
      <c r="D674" s="40"/>
      <c r="E674" s="40"/>
      <c r="F674" s="1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4.25" customHeight="1">
      <c r="A675" s="40"/>
      <c r="B675" s="50"/>
      <c r="C675" s="50"/>
      <c r="D675" s="40"/>
      <c r="E675" s="40"/>
      <c r="F675" s="1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4.25" customHeight="1">
      <c r="A676" s="40"/>
      <c r="B676" s="50"/>
      <c r="C676" s="50"/>
      <c r="D676" s="40"/>
      <c r="E676" s="40"/>
      <c r="F676" s="1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4.25" customHeight="1">
      <c r="A677" s="40"/>
      <c r="B677" s="50"/>
      <c r="C677" s="50"/>
      <c r="D677" s="40"/>
      <c r="E677" s="40"/>
      <c r="F677" s="1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4.25" customHeight="1">
      <c r="A678" s="40"/>
      <c r="B678" s="50"/>
      <c r="C678" s="50"/>
      <c r="D678" s="40"/>
      <c r="E678" s="40"/>
      <c r="F678" s="1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4.25" customHeight="1">
      <c r="A679" s="40"/>
      <c r="B679" s="50"/>
      <c r="C679" s="50"/>
      <c r="D679" s="40"/>
      <c r="E679" s="40"/>
      <c r="F679" s="1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4.25" customHeight="1">
      <c r="A680" s="40"/>
      <c r="B680" s="50"/>
      <c r="C680" s="50"/>
      <c r="D680" s="40"/>
      <c r="E680" s="40"/>
      <c r="F680" s="1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4.25" customHeight="1">
      <c r="A681" s="40"/>
      <c r="B681" s="50"/>
      <c r="C681" s="50"/>
      <c r="D681" s="40"/>
      <c r="E681" s="40"/>
      <c r="F681" s="1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4.25" customHeight="1">
      <c r="A682" s="40"/>
      <c r="B682" s="50"/>
      <c r="C682" s="50"/>
      <c r="D682" s="40"/>
      <c r="E682" s="40"/>
      <c r="F682" s="1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4.25" customHeight="1">
      <c r="A683" s="40"/>
      <c r="B683" s="50"/>
      <c r="C683" s="50"/>
      <c r="D683" s="40"/>
      <c r="E683" s="40"/>
      <c r="F683" s="1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4.25" customHeight="1">
      <c r="A684" s="40"/>
      <c r="B684" s="50"/>
      <c r="C684" s="50"/>
      <c r="D684" s="40"/>
      <c r="E684" s="40"/>
      <c r="F684" s="1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4.25" customHeight="1">
      <c r="A685" s="40"/>
      <c r="B685" s="50"/>
      <c r="C685" s="50"/>
      <c r="D685" s="40"/>
      <c r="E685" s="40"/>
      <c r="F685" s="1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4.25" customHeight="1">
      <c r="A686" s="40"/>
      <c r="B686" s="50"/>
      <c r="C686" s="50"/>
      <c r="D686" s="40"/>
      <c r="E686" s="40"/>
      <c r="F686" s="1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4.25" customHeight="1">
      <c r="A687" s="40"/>
      <c r="B687" s="50"/>
      <c r="C687" s="50"/>
      <c r="D687" s="40"/>
      <c r="E687" s="40"/>
      <c r="F687" s="1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4.25" customHeight="1">
      <c r="A688" s="40"/>
      <c r="B688" s="50"/>
      <c r="C688" s="50"/>
      <c r="D688" s="40"/>
      <c r="E688" s="40"/>
      <c r="F688" s="1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4.25" customHeight="1">
      <c r="A689" s="40"/>
      <c r="B689" s="50"/>
      <c r="C689" s="50"/>
      <c r="D689" s="40"/>
      <c r="E689" s="40"/>
      <c r="F689" s="1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4.25" customHeight="1">
      <c r="A690" s="40"/>
      <c r="B690" s="50"/>
      <c r="C690" s="50"/>
      <c r="D690" s="40"/>
      <c r="E690" s="40"/>
      <c r="F690" s="1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4.25" customHeight="1">
      <c r="A691" s="40"/>
      <c r="B691" s="50"/>
      <c r="C691" s="50"/>
      <c r="D691" s="40"/>
      <c r="E691" s="40"/>
      <c r="F691" s="1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4.25" customHeight="1">
      <c r="A692" s="40"/>
      <c r="B692" s="50"/>
      <c r="C692" s="50"/>
      <c r="D692" s="40"/>
      <c r="E692" s="40"/>
      <c r="F692" s="1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4.25" customHeight="1">
      <c r="A693" s="40"/>
      <c r="B693" s="50"/>
      <c r="C693" s="50"/>
      <c r="D693" s="40"/>
      <c r="E693" s="40"/>
      <c r="F693" s="1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4.25" customHeight="1">
      <c r="A694" s="40"/>
      <c r="B694" s="50"/>
      <c r="C694" s="50"/>
      <c r="D694" s="40"/>
      <c r="E694" s="40"/>
      <c r="F694" s="1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4.25" customHeight="1">
      <c r="A695" s="40"/>
      <c r="B695" s="50"/>
      <c r="C695" s="50"/>
      <c r="D695" s="40"/>
      <c r="E695" s="40"/>
      <c r="F695" s="1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4.25" customHeight="1">
      <c r="A696" s="40"/>
      <c r="B696" s="50"/>
      <c r="C696" s="50"/>
      <c r="D696" s="40"/>
      <c r="E696" s="40"/>
      <c r="F696" s="1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4.25" customHeight="1">
      <c r="A697" s="40"/>
      <c r="B697" s="50"/>
      <c r="C697" s="50"/>
      <c r="D697" s="40"/>
      <c r="E697" s="40"/>
      <c r="F697" s="1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4.25" customHeight="1">
      <c r="A698" s="40"/>
      <c r="B698" s="50"/>
      <c r="C698" s="50"/>
      <c r="D698" s="40"/>
      <c r="E698" s="40"/>
      <c r="F698" s="1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4.25" customHeight="1">
      <c r="A699" s="40"/>
      <c r="B699" s="50"/>
      <c r="C699" s="50"/>
      <c r="D699" s="40"/>
      <c r="E699" s="40"/>
      <c r="F699" s="1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4.25" customHeight="1">
      <c r="A700" s="40"/>
      <c r="B700" s="50"/>
      <c r="C700" s="50"/>
      <c r="D700" s="40"/>
      <c r="E700" s="40"/>
      <c r="F700" s="1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4.25" customHeight="1">
      <c r="A701" s="40"/>
      <c r="B701" s="50"/>
      <c r="C701" s="50"/>
      <c r="D701" s="40"/>
      <c r="E701" s="40"/>
      <c r="F701" s="1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4.25" customHeight="1">
      <c r="A702" s="40"/>
      <c r="B702" s="50"/>
      <c r="C702" s="50"/>
      <c r="D702" s="40"/>
      <c r="E702" s="40"/>
      <c r="F702" s="1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4.25" customHeight="1">
      <c r="A703" s="40"/>
      <c r="B703" s="50"/>
      <c r="C703" s="50"/>
      <c r="D703" s="40"/>
      <c r="E703" s="40"/>
      <c r="F703" s="1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4.25" customHeight="1">
      <c r="A704" s="40"/>
      <c r="B704" s="50"/>
      <c r="C704" s="50"/>
      <c r="D704" s="40"/>
      <c r="E704" s="40"/>
      <c r="F704" s="1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4.25" customHeight="1">
      <c r="A705" s="40"/>
      <c r="B705" s="50"/>
      <c r="C705" s="50"/>
      <c r="D705" s="40"/>
      <c r="E705" s="40"/>
      <c r="F705" s="1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4.25" customHeight="1">
      <c r="A706" s="40"/>
      <c r="B706" s="50"/>
      <c r="C706" s="50"/>
      <c r="D706" s="40"/>
      <c r="E706" s="40"/>
      <c r="F706" s="1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4.25" customHeight="1">
      <c r="A707" s="40"/>
      <c r="B707" s="50"/>
      <c r="C707" s="50"/>
      <c r="D707" s="40"/>
      <c r="E707" s="40"/>
      <c r="F707" s="1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4.25" customHeight="1">
      <c r="A708" s="40"/>
      <c r="B708" s="50"/>
      <c r="C708" s="50"/>
      <c r="D708" s="40"/>
      <c r="E708" s="40"/>
      <c r="F708" s="1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4.25" customHeight="1">
      <c r="A709" s="40"/>
      <c r="B709" s="50"/>
      <c r="C709" s="50"/>
      <c r="D709" s="40"/>
      <c r="E709" s="40"/>
      <c r="F709" s="1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4.25" customHeight="1">
      <c r="A710" s="40"/>
      <c r="B710" s="50"/>
      <c r="C710" s="50"/>
      <c r="D710" s="40"/>
      <c r="E710" s="40"/>
      <c r="F710" s="1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4.25" customHeight="1">
      <c r="A711" s="40"/>
      <c r="B711" s="50"/>
      <c r="C711" s="50"/>
      <c r="D711" s="40"/>
      <c r="E711" s="40"/>
      <c r="F711" s="1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4.25" customHeight="1">
      <c r="A712" s="40"/>
      <c r="B712" s="50"/>
      <c r="C712" s="50"/>
      <c r="D712" s="40"/>
      <c r="E712" s="40"/>
      <c r="F712" s="1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4.25" customHeight="1">
      <c r="A713" s="40"/>
      <c r="B713" s="50"/>
      <c r="C713" s="50"/>
      <c r="D713" s="40"/>
      <c r="E713" s="40"/>
      <c r="F713" s="1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4.25" customHeight="1">
      <c r="A714" s="40"/>
      <c r="B714" s="50"/>
      <c r="C714" s="50"/>
      <c r="D714" s="40"/>
      <c r="E714" s="40"/>
      <c r="F714" s="1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4.25" customHeight="1">
      <c r="A715" s="40"/>
      <c r="B715" s="50"/>
      <c r="C715" s="50"/>
      <c r="D715" s="40"/>
      <c r="E715" s="40"/>
      <c r="F715" s="1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4.25" customHeight="1">
      <c r="A716" s="40"/>
      <c r="B716" s="50"/>
      <c r="C716" s="50"/>
      <c r="D716" s="40"/>
      <c r="E716" s="40"/>
      <c r="F716" s="1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4.25" customHeight="1">
      <c r="A717" s="40"/>
      <c r="B717" s="50"/>
      <c r="C717" s="50"/>
      <c r="D717" s="40"/>
      <c r="E717" s="40"/>
      <c r="F717" s="1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4.25" customHeight="1">
      <c r="A718" s="40"/>
      <c r="B718" s="50"/>
      <c r="C718" s="50"/>
      <c r="D718" s="40"/>
      <c r="E718" s="40"/>
      <c r="F718" s="1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4.25" customHeight="1">
      <c r="A719" s="40"/>
      <c r="B719" s="50"/>
      <c r="C719" s="50"/>
      <c r="D719" s="40"/>
      <c r="E719" s="40"/>
      <c r="F719" s="1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4.25" customHeight="1">
      <c r="A720" s="40"/>
      <c r="B720" s="50"/>
      <c r="C720" s="50"/>
      <c r="D720" s="40"/>
      <c r="E720" s="40"/>
      <c r="F720" s="1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4.25" customHeight="1">
      <c r="A721" s="40"/>
      <c r="B721" s="50"/>
      <c r="C721" s="50"/>
      <c r="D721" s="40"/>
      <c r="E721" s="40"/>
      <c r="F721" s="1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4.25" customHeight="1">
      <c r="A722" s="40"/>
      <c r="B722" s="50"/>
      <c r="C722" s="50"/>
      <c r="D722" s="40"/>
      <c r="E722" s="40"/>
      <c r="F722" s="1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4.25" customHeight="1">
      <c r="A723" s="40"/>
      <c r="B723" s="50"/>
      <c r="C723" s="50"/>
      <c r="D723" s="40"/>
      <c r="E723" s="40"/>
      <c r="F723" s="1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4.25" customHeight="1">
      <c r="A724" s="40"/>
      <c r="B724" s="50"/>
      <c r="C724" s="50"/>
      <c r="D724" s="40"/>
      <c r="E724" s="40"/>
      <c r="F724" s="1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4.25" customHeight="1">
      <c r="A725" s="40"/>
      <c r="B725" s="50"/>
      <c r="C725" s="50"/>
      <c r="D725" s="40"/>
      <c r="E725" s="40"/>
      <c r="F725" s="1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4.25" customHeight="1">
      <c r="A726" s="40"/>
      <c r="B726" s="50"/>
      <c r="C726" s="50"/>
      <c r="D726" s="40"/>
      <c r="E726" s="40"/>
      <c r="F726" s="1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4.25" customHeight="1">
      <c r="A727" s="40"/>
      <c r="B727" s="50"/>
      <c r="C727" s="50"/>
      <c r="D727" s="40"/>
      <c r="E727" s="40"/>
      <c r="F727" s="1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4.25" customHeight="1">
      <c r="A728" s="40"/>
      <c r="B728" s="50"/>
      <c r="C728" s="50"/>
      <c r="D728" s="40"/>
      <c r="E728" s="40"/>
      <c r="F728" s="1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4.25" customHeight="1">
      <c r="A729" s="40"/>
      <c r="B729" s="50"/>
      <c r="C729" s="50"/>
      <c r="D729" s="40"/>
      <c r="E729" s="40"/>
      <c r="F729" s="1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4.25" customHeight="1">
      <c r="A730" s="40"/>
      <c r="B730" s="50"/>
      <c r="C730" s="50"/>
      <c r="D730" s="40"/>
      <c r="E730" s="40"/>
      <c r="F730" s="1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4.25" customHeight="1">
      <c r="A731" s="40"/>
      <c r="B731" s="50"/>
      <c r="C731" s="50"/>
      <c r="D731" s="40"/>
      <c r="E731" s="40"/>
      <c r="F731" s="1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4.25" customHeight="1">
      <c r="A732" s="40"/>
      <c r="B732" s="50"/>
      <c r="C732" s="50"/>
      <c r="D732" s="40"/>
      <c r="E732" s="40"/>
      <c r="F732" s="1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4.25" customHeight="1">
      <c r="A733" s="40"/>
      <c r="B733" s="50"/>
      <c r="C733" s="50"/>
      <c r="D733" s="40"/>
      <c r="E733" s="40"/>
      <c r="F733" s="1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4.25" customHeight="1">
      <c r="A734" s="40"/>
      <c r="B734" s="50"/>
      <c r="C734" s="50"/>
      <c r="D734" s="40"/>
      <c r="E734" s="40"/>
      <c r="F734" s="1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4.25" customHeight="1">
      <c r="A735" s="40"/>
      <c r="B735" s="50"/>
      <c r="C735" s="50"/>
      <c r="D735" s="40"/>
      <c r="E735" s="40"/>
      <c r="F735" s="1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4.25" customHeight="1">
      <c r="A736" s="40"/>
      <c r="B736" s="50"/>
      <c r="C736" s="50"/>
      <c r="D736" s="40"/>
      <c r="E736" s="40"/>
      <c r="F736" s="1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4.25" customHeight="1">
      <c r="A737" s="40"/>
      <c r="B737" s="50"/>
      <c r="C737" s="50"/>
      <c r="D737" s="40"/>
      <c r="E737" s="40"/>
      <c r="F737" s="1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4.25" customHeight="1">
      <c r="A738" s="40"/>
      <c r="B738" s="50"/>
      <c r="C738" s="50"/>
      <c r="D738" s="40"/>
      <c r="E738" s="40"/>
      <c r="F738" s="1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4.25" customHeight="1">
      <c r="A739" s="40"/>
      <c r="B739" s="50"/>
      <c r="C739" s="50"/>
      <c r="D739" s="40"/>
      <c r="E739" s="40"/>
      <c r="F739" s="1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4.25" customHeight="1">
      <c r="A740" s="40"/>
      <c r="B740" s="50"/>
      <c r="C740" s="50"/>
      <c r="D740" s="40"/>
      <c r="E740" s="40"/>
      <c r="F740" s="1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4.25" customHeight="1">
      <c r="A741" s="40"/>
      <c r="B741" s="50"/>
      <c r="C741" s="50"/>
      <c r="D741" s="40"/>
      <c r="E741" s="40"/>
      <c r="F741" s="1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4.25" customHeight="1">
      <c r="A742" s="40"/>
      <c r="B742" s="50"/>
      <c r="C742" s="50"/>
      <c r="D742" s="40"/>
      <c r="E742" s="40"/>
      <c r="F742" s="1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4.25" customHeight="1">
      <c r="A743" s="40"/>
      <c r="B743" s="50"/>
      <c r="C743" s="50"/>
      <c r="D743" s="40"/>
      <c r="E743" s="40"/>
      <c r="F743" s="1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4.25" customHeight="1">
      <c r="A744" s="40"/>
      <c r="B744" s="50"/>
      <c r="C744" s="50"/>
      <c r="D744" s="40"/>
      <c r="E744" s="40"/>
      <c r="F744" s="1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4.25" customHeight="1">
      <c r="A745" s="40"/>
      <c r="B745" s="50"/>
      <c r="C745" s="50"/>
      <c r="D745" s="40"/>
      <c r="E745" s="40"/>
      <c r="F745" s="1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4.25" customHeight="1">
      <c r="A746" s="40"/>
      <c r="B746" s="50"/>
      <c r="C746" s="50"/>
      <c r="D746" s="40"/>
      <c r="E746" s="40"/>
      <c r="F746" s="1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4.25" customHeight="1">
      <c r="A747" s="40"/>
      <c r="B747" s="50"/>
      <c r="C747" s="50"/>
      <c r="D747" s="40"/>
      <c r="E747" s="40"/>
      <c r="F747" s="1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4.25" customHeight="1">
      <c r="A748" s="40"/>
      <c r="B748" s="50"/>
      <c r="C748" s="50"/>
      <c r="D748" s="40"/>
      <c r="E748" s="40"/>
      <c r="F748" s="1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4.25" customHeight="1">
      <c r="A749" s="40"/>
      <c r="B749" s="50"/>
      <c r="C749" s="50"/>
      <c r="D749" s="40"/>
      <c r="E749" s="40"/>
      <c r="F749" s="1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4.25" customHeight="1">
      <c r="A750" s="40"/>
      <c r="B750" s="50"/>
      <c r="C750" s="50"/>
      <c r="D750" s="40"/>
      <c r="E750" s="40"/>
      <c r="F750" s="1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4.25" customHeight="1">
      <c r="A751" s="40"/>
      <c r="B751" s="50"/>
      <c r="C751" s="50"/>
      <c r="D751" s="40"/>
      <c r="E751" s="40"/>
      <c r="F751" s="1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4.25" customHeight="1">
      <c r="A752" s="40"/>
      <c r="B752" s="50"/>
      <c r="C752" s="50"/>
      <c r="D752" s="40"/>
      <c r="E752" s="40"/>
      <c r="F752" s="1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4.25" customHeight="1">
      <c r="A753" s="40"/>
      <c r="B753" s="50"/>
      <c r="C753" s="50"/>
      <c r="D753" s="40"/>
      <c r="E753" s="40"/>
      <c r="F753" s="1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4.25" customHeight="1">
      <c r="A754" s="40"/>
      <c r="B754" s="50"/>
      <c r="C754" s="50"/>
      <c r="D754" s="40"/>
      <c r="E754" s="40"/>
      <c r="F754" s="1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4.25" customHeight="1">
      <c r="A755" s="40"/>
      <c r="B755" s="50"/>
      <c r="C755" s="50"/>
      <c r="D755" s="40"/>
      <c r="E755" s="40"/>
      <c r="F755" s="1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4.25" customHeight="1">
      <c r="A756" s="40"/>
      <c r="B756" s="50"/>
      <c r="C756" s="50"/>
      <c r="D756" s="40"/>
      <c r="E756" s="40"/>
      <c r="F756" s="1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4.25" customHeight="1">
      <c r="A757" s="40"/>
      <c r="B757" s="50"/>
      <c r="C757" s="50"/>
      <c r="D757" s="40"/>
      <c r="E757" s="40"/>
      <c r="F757" s="1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4.25" customHeight="1">
      <c r="A758" s="40"/>
      <c r="B758" s="50"/>
      <c r="C758" s="50"/>
      <c r="D758" s="40"/>
      <c r="E758" s="40"/>
      <c r="F758" s="1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4.25" customHeight="1">
      <c r="A759" s="40"/>
      <c r="B759" s="50"/>
      <c r="C759" s="50"/>
      <c r="D759" s="40"/>
      <c r="E759" s="40"/>
      <c r="F759" s="1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4.25" customHeight="1">
      <c r="A760" s="40"/>
      <c r="B760" s="50"/>
      <c r="C760" s="50"/>
      <c r="D760" s="40"/>
      <c r="E760" s="40"/>
      <c r="F760" s="1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4.25" customHeight="1">
      <c r="A761" s="40"/>
      <c r="B761" s="50"/>
      <c r="C761" s="50"/>
      <c r="D761" s="40"/>
      <c r="E761" s="40"/>
      <c r="F761" s="1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4.25" customHeight="1">
      <c r="A762" s="40"/>
      <c r="B762" s="50"/>
      <c r="C762" s="50"/>
      <c r="D762" s="40"/>
      <c r="E762" s="40"/>
      <c r="F762" s="1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4.25" customHeight="1">
      <c r="A763" s="40"/>
      <c r="B763" s="50"/>
      <c r="C763" s="50"/>
      <c r="D763" s="40"/>
      <c r="E763" s="40"/>
      <c r="F763" s="1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4.25" customHeight="1">
      <c r="A764" s="40"/>
      <c r="B764" s="50"/>
      <c r="C764" s="50"/>
      <c r="D764" s="40"/>
      <c r="E764" s="40"/>
      <c r="F764" s="1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4.25" customHeight="1">
      <c r="A765" s="40"/>
      <c r="B765" s="50"/>
      <c r="C765" s="50"/>
      <c r="D765" s="40"/>
      <c r="E765" s="40"/>
      <c r="F765" s="1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4.25" customHeight="1">
      <c r="A766" s="40"/>
      <c r="B766" s="50"/>
      <c r="C766" s="50"/>
      <c r="D766" s="40"/>
      <c r="E766" s="40"/>
      <c r="F766" s="1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4.25" customHeight="1">
      <c r="A767" s="40"/>
      <c r="B767" s="50"/>
      <c r="C767" s="50"/>
      <c r="D767" s="40"/>
      <c r="E767" s="40"/>
      <c r="F767" s="1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4.25" customHeight="1">
      <c r="A768" s="40"/>
      <c r="B768" s="50"/>
      <c r="C768" s="50"/>
      <c r="D768" s="40"/>
      <c r="E768" s="40"/>
      <c r="F768" s="1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4.25" customHeight="1">
      <c r="A769" s="40"/>
      <c r="B769" s="50"/>
      <c r="C769" s="50"/>
      <c r="D769" s="40"/>
      <c r="E769" s="40"/>
      <c r="F769" s="1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4.25" customHeight="1">
      <c r="A770" s="40"/>
      <c r="B770" s="50"/>
      <c r="C770" s="50"/>
      <c r="D770" s="40"/>
      <c r="E770" s="40"/>
      <c r="F770" s="1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4.25" customHeight="1">
      <c r="A771" s="40"/>
      <c r="B771" s="50"/>
      <c r="C771" s="50"/>
      <c r="D771" s="40"/>
      <c r="E771" s="40"/>
      <c r="F771" s="1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4.25" customHeight="1">
      <c r="A772" s="40"/>
      <c r="B772" s="50"/>
      <c r="C772" s="50"/>
      <c r="D772" s="40"/>
      <c r="E772" s="40"/>
      <c r="F772" s="1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4.25" customHeight="1">
      <c r="A773" s="40"/>
      <c r="B773" s="50"/>
      <c r="C773" s="50"/>
      <c r="D773" s="40"/>
      <c r="E773" s="40"/>
      <c r="F773" s="1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4.25" customHeight="1">
      <c r="A774" s="40"/>
      <c r="B774" s="50"/>
      <c r="C774" s="50"/>
      <c r="D774" s="40"/>
      <c r="E774" s="40"/>
      <c r="F774" s="1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4.25" customHeight="1">
      <c r="A775" s="40"/>
      <c r="B775" s="50"/>
      <c r="C775" s="50"/>
      <c r="D775" s="40"/>
      <c r="E775" s="40"/>
      <c r="F775" s="1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4.25" customHeight="1">
      <c r="A776" s="40"/>
      <c r="B776" s="50"/>
      <c r="C776" s="50"/>
      <c r="D776" s="40"/>
      <c r="E776" s="40"/>
      <c r="F776" s="1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4.25" customHeight="1">
      <c r="A777" s="40"/>
      <c r="B777" s="50"/>
      <c r="C777" s="50"/>
      <c r="D777" s="40"/>
      <c r="E777" s="40"/>
      <c r="F777" s="1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4.25" customHeight="1">
      <c r="A778" s="40"/>
      <c r="B778" s="50"/>
      <c r="C778" s="50"/>
      <c r="D778" s="40"/>
      <c r="E778" s="40"/>
      <c r="F778" s="1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4.25" customHeight="1">
      <c r="A779" s="40"/>
      <c r="B779" s="50"/>
      <c r="C779" s="50"/>
      <c r="D779" s="40"/>
      <c r="E779" s="40"/>
      <c r="F779" s="1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4.25" customHeight="1">
      <c r="A780" s="40"/>
      <c r="B780" s="50"/>
      <c r="C780" s="50"/>
      <c r="D780" s="40"/>
      <c r="E780" s="40"/>
      <c r="F780" s="1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4.25" customHeight="1">
      <c r="A781" s="40"/>
      <c r="B781" s="50"/>
      <c r="C781" s="50"/>
      <c r="D781" s="40"/>
      <c r="E781" s="40"/>
      <c r="F781" s="1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4.25" customHeight="1">
      <c r="A782" s="40"/>
      <c r="B782" s="50"/>
      <c r="C782" s="50"/>
      <c r="D782" s="40"/>
      <c r="E782" s="40"/>
      <c r="F782" s="1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4.25" customHeight="1">
      <c r="A783" s="40"/>
      <c r="B783" s="50"/>
      <c r="C783" s="50"/>
      <c r="D783" s="40"/>
      <c r="E783" s="40"/>
      <c r="F783" s="1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4.25" customHeight="1">
      <c r="A784" s="40"/>
      <c r="B784" s="50"/>
      <c r="C784" s="50"/>
      <c r="D784" s="40"/>
      <c r="E784" s="40"/>
      <c r="F784" s="1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4.25" customHeight="1">
      <c r="A785" s="40"/>
      <c r="B785" s="50"/>
      <c r="C785" s="50"/>
      <c r="D785" s="40"/>
      <c r="E785" s="40"/>
      <c r="F785" s="1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4.25" customHeight="1">
      <c r="A786" s="40"/>
      <c r="B786" s="50"/>
      <c r="C786" s="50"/>
      <c r="D786" s="40"/>
      <c r="E786" s="40"/>
      <c r="F786" s="1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4.25" customHeight="1">
      <c r="A787" s="40"/>
      <c r="B787" s="50"/>
      <c r="C787" s="50"/>
      <c r="D787" s="40"/>
      <c r="E787" s="40"/>
      <c r="F787" s="1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4.25" customHeight="1">
      <c r="A788" s="40"/>
      <c r="B788" s="50"/>
      <c r="C788" s="50"/>
      <c r="D788" s="40"/>
      <c r="E788" s="40"/>
      <c r="F788" s="1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4.25" customHeight="1">
      <c r="A789" s="40"/>
      <c r="B789" s="50"/>
      <c r="C789" s="50"/>
      <c r="D789" s="40"/>
      <c r="E789" s="40"/>
      <c r="F789" s="1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4.25" customHeight="1">
      <c r="A790" s="40"/>
      <c r="B790" s="50"/>
      <c r="C790" s="50"/>
      <c r="D790" s="40"/>
      <c r="E790" s="40"/>
      <c r="F790" s="1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4.25" customHeight="1">
      <c r="A791" s="40"/>
      <c r="B791" s="50"/>
      <c r="C791" s="50"/>
      <c r="D791" s="40"/>
      <c r="E791" s="40"/>
      <c r="F791" s="1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4.25" customHeight="1">
      <c r="A792" s="40"/>
      <c r="B792" s="50"/>
      <c r="C792" s="50"/>
      <c r="D792" s="40"/>
      <c r="E792" s="40"/>
      <c r="F792" s="1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4.25" customHeight="1">
      <c r="A793" s="40"/>
      <c r="B793" s="50"/>
      <c r="C793" s="50"/>
      <c r="D793" s="40"/>
      <c r="E793" s="40"/>
      <c r="F793" s="1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4.25" customHeight="1">
      <c r="A794" s="40"/>
      <c r="B794" s="50"/>
      <c r="C794" s="50"/>
      <c r="D794" s="40"/>
      <c r="E794" s="40"/>
      <c r="F794" s="1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4.25" customHeight="1">
      <c r="A795" s="40"/>
      <c r="B795" s="50"/>
      <c r="C795" s="50"/>
      <c r="D795" s="40"/>
      <c r="E795" s="40"/>
      <c r="F795" s="1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4.25" customHeight="1">
      <c r="A796" s="40"/>
      <c r="B796" s="50"/>
      <c r="C796" s="50"/>
      <c r="D796" s="40"/>
      <c r="E796" s="40"/>
      <c r="F796" s="1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4.25" customHeight="1">
      <c r="A797" s="40"/>
      <c r="B797" s="50"/>
      <c r="C797" s="50"/>
      <c r="D797" s="40"/>
      <c r="E797" s="40"/>
      <c r="F797" s="1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4.25" customHeight="1">
      <c r="A798" s="40"/>
      <c r="B798" s="50"/>
      <c r="C798" s="50"/>
      <c r="D798" s="40"/>
      <c r="E798" s="40"/>
      <c r="F798" s="1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4.25" customHeight="1">
      <c r="A799" s="40"/>
      <c r="B799" s="50"/>
      <c r="C799" s="50"/>
      <c r="D799" s="40"/>
      <c r="E799" s="40"/>
      <c r="F799" s="1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4.25" customHeight="1">
      <c r="A800" s="40"/>
      <c r="B800" s="50"/>
      <c r="C800" s="50"/>
      <c r="D800" s="40"/>
      <c r="E800" s="40"/>
      <c r="F800" s="1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4.25" customHeight="1">
      <c r="A801" s="40"/>
      <c r="B801" s="50"/>
      <c r="C801" s="50"/>
      <c r="D801" s="40"/>
      <c r="E801" s="40"/>
      <c r="F801" s="1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4.25" customHeight="1">
      <c r="A802" s="40"/>
      <c r="B802" s="50"/>
      <c r="C802" s="50"/>
      <c r="D802" s="40"/>
      <c r="E802" s="40"/>
      <c r="F802" s="1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4.25" customHeight="1">
      <c r="A803" s="40"/>
      <c r="B803" s="50"/>
      <c r="C803" s="50"/>
      <c r="D803" s="40"/>
      <c r="E803" s="40"/>
      <c r="F803" s="1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4.25" customHeight="1">
      <c r="A804" s="40"/>
      <c r="B804" s="50"/>
      <c r="C804" s="50"/>
      <c r="D804" s="40"/>
      <c r="E804" s="40"/>
      <c r="F804" s="1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4.25" customHeight="1">
      <c r="A805" s="40"/>
      <c r="B805" s="50"/>
      <c r="C805" s="50"/>
      <c r="D805" s="40"/>
      <c r="E805" s="40"/>
      <c r="F805" s="1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4.25" customHeight="1">
      <c r="A806" s="40"/>
      <c r="B806" s="50"/>
      <c r="C806" s="50"/>
      <c r="D806" s="40"/>
      <c r="E806" s="40"/>
      <c r="F806" s="1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4.25" customHeight="1">
      <c r="A807" s="40"/>
      <c r="B807" s="50"/>
      <c r="C807" s="50"/>
      <c r="D807" s="40"/>
      <c r="E807" s="40"/>
      <c r="F807" s="1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4.25" customHeight="1">
      <c r="A808" s="40"/>
      <c r="B808" s="50"/>
      <c r="C808" s="50"/>
      <c r="D808" s="40"/>
      <c r="E808" s="40"/>
      <c r="F808" s="1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4.25" customHeight="1">
      <c r="A809" s="40"/>
      <c r="B809" s="50"/>
      <c r="C809" s="50"/>
      <c r="D809" s="40"/>
      <c r="E809" s="40"/>
      <c r="F809" s="1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4.25" customHeight="1">
      <c r="A810" s="40"/>
      <c r="B810" s="50"/>
      <c r="C810" s="50"/>
      <c r="D810" s="40"/>
      <c r="E810" s="40"/>
      <c r="F810" s="1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4.25" customHeight="1">
      <c r="A811" s="40"/>
      <c r="B811" s="50"/>
      <c r="C811" s="50"/>
      <c r="D811" s="40"/>
      <c r="E811" s="40"/>
      <c r="F811" s="1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4.25" customHeight="1">
      <c r="A812" s="40"/>
      <c r="B812" s="50"/>
      <c r="C812" s="50"/>
      <c r="D812" s="40"/>
      <c r="E812" s="40"/>
      <c r="F812" s="1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4.25" customHeight="1">
      <c r="A813" s="40"/>
      <c r="B813" s="50"/>
      <c r="C813" s="50"/>
      <c r="D813" s="40"/>
      <c r="E813" s="40"/>
      <c r="F813" s="1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4.25" customHeight="1">
      <c r="A814" s="40"/>
      <c r="B814" s="50"/>
      <c r="C814" s="50"/>
      <c r="D814" s="40"/>
      <c r="E814" s="40"/>
      <c r="F814" s="1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4.25" customHeight="1">
      <c r="A815" s="40"/>
      <c r="B815" s="50"/>
      <c r="C815" s="50"/>
      <c r="D815" s="40"/>
      <c r="E815" s="40"/>
      <c r="F815" s="1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4.25" customHeight="1">
      <c r="A816" s="40"/>
      <c r="B816" s="50"/>
      <c r="C816" s="50"/>
      <c r="D816" s="40"/>
      <c r="E816" s="40"/>
      <c r="F816" s="1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4.25" customHeight="1">
      <c r="A817" s="40"/>
      <c r="B817" s="50"/>
      <c r="C817" s="50"/>
      <c r="D817" s="40"/>
      <c r="E817" s="40"/>
      <c r="F817" s="1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4.25" customHeight="1">
      <c r="A818" s="40"/>
      <c r="B818" s="50"/>
      <c r="C818" s="50"/>
      <c r="D818" s="40"/>
      <c r="E818" s="40"/>
      <c r="F818" s="1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4.25" customHeight="1">
      <c r="A819" s="40"/>
      <c r="B819" s="50"/>
      <c r="C819" s="50"/>
      <c r="D819" s="40"/>
      <c r="E819" s="40"/>
      <c r="F819" s="1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4.25" customHeight="1">
      <c r="A820" s="40"/>
      <c r="B820" s="50"/>
      <c r="C820" s="50"/>
      <c r="D820" s="40"/>
      <c r="E820" s="40"/>
      <c r="F820" s="1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4.25" customHeight="1">
      <c r="A821" s="40"/>
      <c r="B821" s="50"/>
      <c r="C821" s="50"/>
      <c r="D821" s="40"/>
      <c r="E821" s="40"/>
      <c r="F821" s="1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4.25" customHeight="1">
      <c r="A822" s="40"/>
      <c r="B822" s="50"/>
      <c r="C822" s="50"/>
      <c r="D822" s="40"/>
      <c r="E822" s="40"/>
      <c r="F822" s="1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4.25" customHeight="1">
      <c r="A823" s="40"/>
      <c r="B823" s="50"/>
      <c r="C823" s="50"/>
      <c r="D823" s="40"/>
      <c r="E823" s="40"/>
      <c r="F823" s="1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4.25" customHeight="1">
      <c r="A824" s="40"/>
      <c r="B824" s="50"/>
      <c r="C824" s="50"/>
      <c r="D824" s="40"/>
      <c r="E824" s="40"/>
      <c r="F824" s="1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4.25" customHeight="1">
      <c r="A825" s="40"/>
      <c r="B825" s="50"/>
      <c r="C825" s="50"/>
      <c r="D825" s="40"/>
      <c r="E825" s="40"/>
      <c r="F825" s="1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4.25" customHeight="1">
      <c r="A826" s="40"/>
      <c r="B826" s="50"/>
      <c r="C826" s="50"/>
      <c r="D826" s="40"/>
      <c r="E826" s="40"/>
      <c r="F826" s="1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4.25" customHeight="1">
      <c r="A827" s="40"/>
      <c r="B827" s="50"/>
      <c r="C827" s="50"/>
      <c r="D827" s="40"/>
      <c r="E827" s="40"/>
      <c r="F827" s="1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4.25" customHeight="1">
      <c r="A828" s="40"/>
      <c r="B828" s="50"/>
      <c r="C828" s="50"/>
      <c r="D828" s="40"/>
      <c r="E828" s="40"/>
      <c r="F828" s="1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4.25" customHeight="1">
      <c r="A829" s="40"/>
      <c r="B829" s="50"/>
      <c r="C829" s="50"/>
      <c r="D829" s="40"/>
      <c r="E829" s="40"/>
      <c r="F829" s="1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4.25" customHeight="1">
      <c r="A830" s="40"/>
      <c r="B830" s="50"/>
      <c r="C830" s="50"/>
      <c r="D830" s="40"/>
      <c r="E830" s="40"/>
      <c r="F830" s="1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4.25" customHeight="1">
      <c r="A831" s="40"/>
      <c r="B831" s="50"/>
      <c r="C831" s="50"/>
      <c r="D831" s="40"/>
      <c r="E831" s="40"/>
      <c r="F831" s="1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4.25" customHeight="1">
      <c r="A832" s="40"/>
      <c r="B832" s="50"/>
      <c r="C832" s="50"/>
      <c r="D832" s="40"/>
      <c r="E832" s="40"/>
      <c r="F832" s="1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4.25" customHeight="1">
      <c r="A833" s="40"/>
      <c r="B833" s="50"/>
      <c r="C833" s="50"/>
      <c r="D833" s="40"/>
      <c r="E833" s="40"/>
      <c r="F833" s="1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4.25" customHeight="1">
      <c r="A834" s="40"/>
      <c r="B834" s="50"/>
      <c r="C834" s="50"/>
      <c r="D834" s="40"/>
      <c r="E834" s="40"/>
      <c r="F834" s="1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4.25" customHeight="1">
      <c r="A835" s="40"/>
      <c r="B835" s="50"/>
      <c r="C835" s="50"/>
      <c r="D835" s="40"/>
      <c r="E835" s="40"/>
      <c r="F835" s="1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4.25" customHeight="1">
      <c r="A836" s="40"/>
      <c r="B836" s="50"/>
      <c r="C836" s="50"/>
      <c r="D836" s="40"/>
      <c r="E836" s="40"/>
      <c r="F836" s="1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4.25" customHeight="1">
      <c r="A837" s="40"/>
      <c r="B837" s="50"/>
      <c r="C837" s="50"/>
      <c r="D837" s="40"/>
      <c r="E837" s="40"/>
      <c r="F837" s="1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4.25" customHeight="1">
      <c r="A838" s="40"/>
      <c r="B838" s="50"/>
      <c r="C838" s="50"/>
      <c r="D838" s="40"/>
      <c r="E838" s="40"/>
      <c r="F838" s="1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4.25" customHeight="1">
      <c r="A839" s="40"/>
      <c r="B839" s="50"/>
      <c r="C839" s="50"/>
      <c r="D839" s="40"/>
      <c r="E839" s="40"/>
      <c r="F839" s="1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4.25" customHeight="1">
      <c r="A840" s="40"/>
      <c r="B840" s="50"/>
      <c r="C840" s="50"/>
      <c r="D840" s="40"/>
      <c r="E840" s="40"/>
      <c r="F840" s="1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4.25" customHeight="1">
      <c r="A841" s="40"/>
      <c r="B841" s="50"/>
      <c r="C841" s="50"/>
      <c r="D841" s="40"/>
      <c r="E841" s="40"/>
      <c r="F841" s="1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4.25" customHeight="1">
      <c r="A842" s="40"/>
      <c r="B842" s="50"/>
      <c r="C842" s="50"/>
      <c r="D842" s="40"/>
      <c r="E842" s="40"/>
      <c r="F842" s="1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4.25" customHeight="1">
      <c r="A843" s="40"/>
      <c r="B843" s="50"/>
      <c r="C843" s="50"/>
      <c r="D843" s="40"/>
      <c r="E843" s="40"/>
      <c r="F843" s="1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4.25" customHeight="1">
      <c r="A844" s="40"/>
      <c r="B844" s="50"/>
      <c r="C844" s="50"/>
      <c r="D844" s="40"/>
      <c r="E844" s="40"/>
      <c r="F844" s="1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4.25" customHeight="1">
      <c r="A845" s="40"/>
      <c r="B845" s="50"/>
      <c r="C845" s="50"/>
      <c r="D845" s="40"/>
      <c r="E845" s="40"/>
      <c r="F845" s="1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4.25" customHeight="1">
      <c r="A846" s="40"/>
      <c r="B846" s="50"/>
      <c r="C846" s="50"/>
      <c r="D846" s="40"/>
      <c r="E846" s="40"/>
      <c r="F846" s="1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4.25" customHeight="1">
      <c r="A847" s="40"/>
      <c r="B847" s="50"/>
      <c r="C847" s="50"/>
      <c r="D847" s="40"/>
      <c r="E847" s="40"/>
      <c r="F847" s="1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4.25" customHeight="1">
      <c r="A848" s="40"/>
      <c r="B848" s="50"/>
      <c r="C848" s="50"/>
      <c r="D848" s="40"/>
      <c r="E848" s="40"/>
      <c r="F848" s="1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4.25" customHeight="1">
      <c r="A849" s="40"/>
      <c r="B849" s="50"/>
      <c r="C849" s="50"/>
      <c r="D849" s="40"/>
      <c r="E849" s="40"/>
      <c r="F849" s="1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4.25" customHeight="1">
      <c r="A850" s="40"/>
      <c r="B850" s="50"/>
      <c r="C850" s="50"/>
      <c r="D850" s="40"/>
      <c r="E850" s="40"/>
      <c r="F850" s="1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4.25" customHeight="1">
      <c r="A851" s="40"/>
      <c r="B851" s="50"/>
      <c r="C851" s="50"/>
      <c r="D851" s="40"/>
      <c r="E851" s="40"/>
      <c r="F851" s="1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4.25" customHeight="1">
      <c r="A852" s="40"/>
      <c r="B852" s="50"/>
      <c r="C852" s="50"/>
      <c r="D852" s="40"/>
      <c r="E852" s="40"/>
      <c r="F852" s="1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4.25" customHeight="1">
      <c r="A853" s="40"/>
      <c r="B853" s="50"/>
      <c r="C853" s="50"/>
      <c r="D853" s="40"/>
      <c r="E853" s="40"/>
      <c r="F853" s="1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4.25" customHeight="1">
      <c r="A854" s="40"/>
      <c r="B854" s="50"/>
      <c r="C854" s="50"/>
      <c r="D854" s="40"/>
      <c r="E854" s="40"/>
      <c r="F854" s="1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4.25" customHeight="1">
      <c r="A855" s="40"/>
      <c r="B855" s="50"/>
      <c r="C855" s="50"/>
      <c r="D855" s="40"/>
      <c r="E855" s="40"/>
      <c r="F855" s="1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4.25" customHeight="1">
      <c r="A856" s="40"/>
      <c r="B856" s="50"/>
      <c r="C856" s="50"/>
      <c r="D856" s="40"/>
      <c r="E856" s="40"/>
      <c r="F856" s="1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4.25" customHeight="1">
      <c r="A857" s="40"/>
      <c r="B857" s="50"/>
      <c r="C857" s="50"/>
      <c r="D857" s="40"/>
      <c r="E857" s="40"/>
      <c r="F857" s="1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4.25" customHeight="1">
      <c r="A858" s="40"/>
      <c r="B858" s="50"/>
      <c r="C858" s="50"/>
      <c r="D858" s="40"/>
      <c r="E858" s="40"/>
      <c r="F858" s="1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4.25" customHeight="1">
      <c r="A859" s="40"/>
      <c r="B859" s="50"/>
      <c r="C859" s="50"/>
      <c r="D859" s="40"/>
      <c r="E859" s="40"/>
      <c r="F859" s="1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4.25" customHeight="1">
      <c r="A860" s="40"/>
      <c r="B860" s="50"/>
      <c r="C860" s="50"/>
      <c r="D860" s="40"/>
      <c r="E860" s="40"/>
      <c r="F860" s="1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4.25" customHeight="1">
      <c r="A861" s="40"/>
      <c r="B861" s="50"/>
      <c r="C861" s="50"/>
      <c r="D861" s="40"/>
      <c r="E861" s="40"/>
      <c r="F861" s="1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4.25" customHeight="1">
      <c r="A862" s="40"/>
      <c r="B862" s="50"/>
      <c r="C862" s="50"/>
      <c r="D862" s="40"/>
      <c r="E862" s="40"/>
      <c r="F862" s="1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4.25" customHeight="1">
      <c r="A863" s="40"/>
      <c r="B863" s="50"/>
      <c r="C863" s="50"/>
      <c r="D863" s="40"/>
      <c r="E863" s="40"/>
      <c r="F863" s="1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4.25" customHeight="1">
      <c r="A864" s="40"/>
      <c r="B864" s="50"/>
      <c r="C864" s="50"/>
      <c r="D864" s="40"/>
      <c r="E864" s="40"/>
      <c r="F864" s="1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4.25" customHeight="1">
      <c r="A865" s="40"/>
      <c r="B865" s="50"/>
      <c r="C865" s="50"/>
      <c r="D865" s="40"/>
      <c r="E865" s="40"/>
      <c r="F865" s="1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4.25" customHeight="1">
      <c r="A866" s="40"/>
      <c r="B866" s="50"/>
      <c r="C866" s="50"/>
      <c r="D866" s="40"/>
      <c r="E866" s="40"/>
      <c r="F866" s="1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4.25" customHeight="1">
      <c r="A867" s="40"/>
      <c r="B867" s="50"/>
      <c r="C867" s="50"/>
      <c r="D867" s="40"/>
      <c r="E867" s="40"/>
      <c r="F867" s="1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4.25" customHeight="1">
      <c r="A868" s="40"/>
      <c r="B868" s="50"/>
      <c r="C868" s="50"/>
      <c r="D868" s="40"/>
      <c r="E868" s="40"/>
      <c r="F868" s="1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4.25" customHeight="1">
      <c r="A869" s="40"/>
      <c r="B869" s="50"/>
      <c r="C869" s="50"/>
      <c r="D869" s="40"/>
      <c r="E869" s="40"/>
      <c r="F869" s="1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4.25" customHeight="1">
      <c r="A870" s="40"/>
      <c r="B870" s="50"/>
      <c r="C870" s="50"/>
      <c r="D870" s="40"/>
      <c r="E870" s="40"/>
      <c r="F870" s="1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4.25" customHeight="1">
      <c r="A871" s="40"/>
      <c r="B871" s="50"/>
      <c r="C871" s="50"/>
      <c r="D871" s="40"/>
      <c r="E871" s="40"/>
      <c r="F871" s="1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4.25" customHeight="1">
      <c r="A872" s="40"/>
      <c r="B872" s="50"/>
      <c r="C872" s="50"/>
      <c r="D872" s="40"/>
      <c r="E872" s="40"/>
      <c r="F872" s="1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4.25" customHeight="1">
      <c r="A873" s="40"/>
      <c r="B873" s="50"/>
      <c r="C873" s="50"/>
      <c r="D873" s="40"/>
      <c r="E873" s="40"/>
      <c r="F873" s="1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4.25" customHeight="1">
      <c r="A874" s="40"/>
      <c r="B874" s="50"/>
      <c r="C874" s="50"/>
      <c r="D874" s="40"/>
      <c r="E874" s="40"/>
      <c r="F874" s="1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4.25" customHeight="1">
      <c r="A875" s="40"/>
      <c r="B875" s="50"/>
      <c r="C875" s="50"/>
      <c r="D875" s="40"/>
      <c r="E875" s="40"/>
      <c r="F875" s="1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4.25" customHeight="1">
      <c r="A876" s="40"/>
      <c r="B876" s="50"/>
      <c r="C876" s="50"/>
      <c r="D876" s="40"/>
      <c r="E876" s="40"/>
      <c r="F876" s="1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4.25" customHeight="1">
      <c r="A877" s="40"/>
      <c r="B877" s="50"/>
      <c r="C877" s="50"/>
      <c r="D877" s="40"/>
      <c r="E877" s="40"/>
      <c r="F877" s="1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4.25" customHeight="1">
      <c r="A878" s="40"/>
      <c r="B878" s="50"/>
      <c r="C878" s="50"/>
      <c r="D878" s="40"/>
      <c r="E878" s="40"/>
      <c r="F878" s="1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4.25" customHeight="1">
      <c r="A879" s="40"/>
      <c r="B879" s="50"/>
      <c r="C879" s="50"/>
      <c r="D879" s="40"/>
      <c r="E879" s="40"/>
      <c r="F879" s="1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4.25" customHeight="1">
      <c r="A880" s="40"/>
      <c r="B880" s="50"/>
      <c r="C880" s="50"/>
      <c r="D880" s="40"/>
      <c r="E880" s="40"/>
      <c r="F880" s="1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4.25" customHeight="1">
      <c r="A881" s="40"/>
      <c r="B881" s="50"/>
      <c r="C881" s="50"/>
      <c r="D881" s="40"/>
      <c r="E881" s="40"/>
      <c r="F881" s="1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4.25" customHeight="1">
      <c r="A882" s="40"/>
      <c r="B882" s="50"/>
      <c r="C882" s="50"/>
      <c r="D882" s="40"/>
      <c r="E882" s="40"/>
      <c r="F882" s="1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4.25" customHeight="1">
      <c r="A883" s="40"/>
      <c r="B883" s="50"/>
      <c r="C883" s="50"/>
      <c r="D883" s="40"/>
      <c r="E883" s="40"/>
      <c r="F883" s="1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4.25" customHeight="1">
      <c r="A884" s="40"/>
      <c r="B884" s="50"/>
      <c r="C884" s="50"/>
      <c r="D884" s="40"/>
      <c r="E884" s="40"/>
      <c r="F884" s="1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4.25" customHeight="1">
      <c r="A885" s="40"/>
      <c r="B885" s="50"/>
      <c r="C885" s="50"/>
      <c r="D885" s="40"/>
      <c r="E885" s="40"/>
      <c r="F885" s="1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4.25" customHeight="1">
      <c r="A886" s="40"/>
      <c r="B886" s="50"/>
      <c r="C886" s="50"/>
      <c r="D886" s="40"/>
      <c r="E886" s="40"/>
      <c r="F886" s="1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4.25" customHeight="1">
      <c r="A887" s="40"/>
      <c r="B887" s="50"/>
      <c r="C887" s="50"/>
      <c r="D887" s="40"/>
      <c r="E887" s="40"/>
      <c r="F887" s="1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4.25" customHeight="1">
      <c r="A888" s="40"/>
      <c r="B888" s="50"/>
      <c r="C888" s="50"/>
      <c r="D888" s="40"/>
      <c r="E888" s="40"/>
      <c r="F888" s="1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4.25" customHeight="1">
      <c r="A889" s="40"/>
      <c r="B889" s="50"/>
      <c r="C889" s="50"/>
      <c r="D889" s="40"/>
      <c r="E889" s="40"/>
      <c r="F889" s="1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4.25" customHeight="1">
      <c r="A890" s="40"/>
      <c r="B890" s="50"/>
      <c r="C890" s="50"/>
      <c r="D890" s="40"/>
      <c r="E890" s="40"/>
      <c r="F890" s="1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4.25" customHeight="1">
      <c r="A891" s="40"/>
      <c r="B891" s="50"/>
      <c r="C891" s="50"/>
      <c r="D891" s="40"/>
      <c r="E891" s="40"/>
      <c r="F891" s="1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4.25" customHeight="1">
      <c r="A892" s="40"/>
      <c r="B892" s="50"/>
      <c r="C892" s="50"/>
      <c r="D892" s="40"/>
      <c r="E892" s="40"/>
      <c r="F892" s="1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4.25" customHeight="1">
      <c r="A893" s="40"/>
      <c r="B893" s="50"/>
      <c r="C893" s="50"/>
      <c r="D893" s="40"/>
      <c r="E893" s="40"/>
      <c r="F893" s="1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4.25" customHeight="1">
      <c r="A894" s="40"/>
      <c r="B894" s="50"/>
      <c r="C894" s="50"/>
      <c r="D894" s="40"/>
      <c r="E894" s="40"/>
      <c r="F894" s="1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4.25" customHeight="1">
      <c r="A895" s="40"/>
      <c r="B895" s="50"/>
      <c r="C895" s="50"/>
      <c r="D895" s="40"/>
      <c r="E895" s="40"/>
      <c r="F895" s="1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4.25" customHeight="1">
      <c r="A896" s="40"/>
      <c r="B896" s="50"/>
      <c r="C896" s="50"/>
      <c r="D896" s="40"/>
      <c r="E896" s="40"/>
      <c r="F896" s="1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4.25" customHeight="1">
      <c r="A897" s="40"/>
      <c r="B897" s="50"/>
      <c r="C897" s="50"/>
      <c r="D897" s="40"/>
      <c r="E897" s="40"/>
      <c r="F897" s="1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4.25" customHeight="1">
      <c r="A898" s="40"/>
      <c r="B898" s="50"/>
      <c r="C898" s="50"/>
      <c r="D898" s="40"/>
      <c r="E898" s="40"/>
      <c r="F898" s="1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4.25" customHeight="1">
      <c r="A899" s="40"/>
      <c r="B899" s="50"/>
      <c r="C899" s="50"/>
      <c r="D899" s="40"/>
      <c r="E899" s="40"/>
      <c r="F899" s="1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4.25" customHeight="1">
      <c r="A900" s="40"/>
      <c r="B900" s="50"/>
      <c r="C900" s="50"/>
      <c r="D900" s="40"/>
      <c r="E900" s="40"/>
      <c r="F900" s="1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4.25" customHeight="1">
      <c r="A901" s="40"/>
      <c r="B901" s="50"/>
      <c r="C901" s="50"/>
      <c r="D901" s="40"/>
      <c r="E901" s="40"/>
      <c r="F901" s="1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4.25" customHeight="1">
      <c r="A902" s="40"/>
      <c r="B902" s="50"/>
      <c r="C902" s="50"/>
      <c r="D902" s="40"/>
      <c r="E902" s="40"/>
      <c r="F902" s="1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4.25" customHeight="1">
      <c r="A903" s="40"/>
      <c r="B903" s="50"/>
      <c r="C903" s="50"/>
      <c r="D903" s="40"/>
      <c r="E903" s="40"/>
      <c r="F903" s="1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4.25" customHeight="1">
      <c r="A904" s="40"/>
      <c r="B904" s="50"/>
      <c r="C904" s="50"/>
      <c r="D904" s="40"/>
      <c r="E904" s="40"/>
      <c r="F904" s="1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4.25" customHeight="1">
      <c r="A905" s="40"/>
      <c r="B905" s="50"/>
      <c r="C905" s="50"/>
      <c r="D905" s="40"/>
      <c r="E905" s="40"/>
      <c r="F905" s="1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4.25" customHeight="1">
      <c r="A906" s="40"/>
      <c r="B906" s="50"/>
      <c r="C906" s="50"/>
      <c r="D906" s="40"/>
      <c r="E906" s="40"/>
      <c r="F906" s="1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4.25" customHeight="1">
      <c r="A907" s="40"/>
      <c r="B907" s="50"/>
      <c r="C907" s="50"/>
      <c r="D907" s="40"/>
      <c r="E907" s="40"/>
      <c r="F907" s="1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4.25" customHeight="1">
      <c r="A908" s="40"/>
      <c r="B908" s="50"/>
      <c r="C908" s="50"/>
      <c r="D908" s="40"/>
      <c r="E908" s="40"/>
      <c r="F908" s="1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4.25" customHeight="1">
      <c r="A909" s="40"/>
      <c r="B909" s="50"/>
      <c r="C909" s="50"/>
      <c r="D909" s="40"/>
      <c r="E909" s="40"/>
      <c r="F909" s="1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4.25" customHeight="1">
      <c r="A910" s="40"/>
      <c r="B910" s="50"/>
      <c r="C910" s="50"/>
      <c r="D910" s="40"/>
      <c r="E910" s="40"/>
      <c r="F910" s="1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4.25" customHeight="1">
      <c r="A911" s="40"/>
      <c r="B911" s="50"/>
      <c r="C911" s="50"/>
      <c r="D911" s="40"/>
      <c r="E911" s="40"/>
      <c r="F911" s="1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4.25" customHeight="1">
      <c r="A912" s="40"/>
      <c r="B912" s="50"/>
      <c r="C912" s="50"/>
      <c r="D912" s="40"/>
      <c r="E912" s="40"/>
      <c r="F912" s="1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4.25" customHeight="1">
      <c r="A913" s="40"/>
      <c r="B913" s="50"/>
      <c r="C913" s="50"/>
      <c r="D913" s="40"/>
      <c r="E913" s="40"/>
      <c r="F913" s="1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4.25" customHeight="1">
      <c r="A914" s="40"/>
      <c r="B914" s="50"/>
      <c r="C914" s="50"/>
      <c r="D914" s="40"/>
      <c r="E914" s="40"/>
      <c r="F914" s="1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4.25" customHeight="1">
      <c r="A915" s="40"/>
      <c r="B915" s="50"/>
      <c r="C915" s="50"/>
      <c r="D915" s="40"/>
      <c r="E915" s="40"/>
      <c r="F915" s="1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4.25" customHeight="1">
      <c r="A916" s="40"/>
      <c r="B916" s="50"/>
      <c r="C916" s="50"/>
      <c r="D916" s="40"/>
      <c r="E916" s="40"/>
      <c r="F916" s="1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4.25" customHeight="1">
      <c r="A917" s="40"/>
      <c r="B917" s="50"/>
      <c r="C917" s="50"/>
      <c r="D917" s="40"/>
      <c r="E917" s="40"/>
      <c r="F917" s="1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4.25" customHeight="1">
      <c r="A918" s="40"/>
      <c r="B918" s="50"/>
      <c r="C918" s="50"/>
      <c r="D918" s="40"/>
      <c r="E918" s="40"/>
      <c r="F918" s="1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4.25" customHeight="1">
      <c r="A919" s="40"/>
      <c r="B919" s="50"/>
      <c r="C919" s="50"/>
      <c r="D919" s="40"/>
      <c r="E919" s="40"/>
      <c r="F919" s="1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4.25" customHeight="1">
      <c r="A920" s="40"/>
      <c r="B920" s="50"/>
      <c r="C920" s="50"/>
      <c r="D920" s="40"/>
      <c r="E920" s="40"/>
      <c r="F920" s="1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4.25" customHeight="1">
      <c r="A921" s="40"/>
      <c r="B921" s="50"/>
      <c r="C921" s="50"/>
      <c r="D921" s="40"/>
      <c r="E921" s="40"/>
      <c r="F921" s="1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4.25" customHeight="1">
      <c r="A922" s="40"/>
      <c r="B922" s="50"/>
      <c r="C922" s="50"/>
      <c r="D922" s="40"/>
      <c r="E922" s="40"/>
      <c r="F922" s="1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4.25" customHeight="1">
      <c r="A923" s="40"/>
      <c r="B923" s="50"/>
      <c r="C923" s="50"/>
      <c r="D923" s="40"/>
      <c r="E923" s="40"/>
      <c r="F923" s="1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4.25" customHeight="1">
      <c r="A924" s="40"/>
      <c r="B924" s="50"/>
      <c r="C924" s="50"/>
      <c r="D924" s="40"/>
      <c r="E924" s="40"/>
      <c r="F924" s="1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4.25" customHeight="1">
      <c r="A925" s="40"/>
      <c r="B925" s="50"/>
      <c r="C925" s="50"/>
      <c r="D925" s="40"/>
      <c r="E925" s="40"/>
      <c r="F925" s="1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4.25" customHeight="1">
      <c r="A926" s="40"/>
      <c r="B926" s="50"/>
      <c r="C926" s="50"/>
      <c r="D926" s="40"/>
      <c r="E926" s="40"/>
      <c r="F926" s="1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4.25" customHeight="1">
      <c r="A927" s="40"/>
      <c r="B927" s="50"/>
      <c r="C927" s="50"/>
      <c r="D927" s="40"/>
      <c r="E927" s="40"/>
      <c r="F927" s="1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4.25" customHeight="1">
      <c r="A928" s="40"/>
      <c r="B928" s="50"/>
      <c r="C928" s="50"/>
      <c r="D928" s="40"/>
      <c r="E928" s="40"/>
      <c r="F928" s="1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4.25" customHeight="1">
      <c r="A929" s="40"/>
      <c r="B929" s="50"/>
      <c r="C929" s="50"/>
      <c r="D929" s="40"/>
      <c r="E929" s="40"/>
      <c r="F929" s="1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4.25" customHeight="1">
      <c r="A930" s="40"/>
      <c r="B930" s="50"/>
      <c r="C930" s="50"/>
      <c r="D930" s="40"/>
      <c r="E930" s="40"/>
      <c r="F930" s="1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4.25" customHeight="1">
      <c r="A931" s="40"/>
      <c r="B931" s="50"/>
      <c r="C931" s="50"/>
      <c r="D931" s="40"/>
      <c r="E931" s="40"/>
      <c r="F931" s="1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4.25" customHeight="1">
      <c r="A932" s="40"/>
      <c r="B932" s="50"/>
      <c r="C932" s="50"/>
      <c r="D932" s="40"/>
      <c r="E932" s="40"/>
      <c r="F932" s="1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4.25" customHeight="1">
      <c r="A933" s="40"/>
      <c r="B933" s="50"/>
      <c r="C933" s="50"/>
      <c r="D933" s="40"/>
      <c r="E933" s="40"/>
      <c r="F933" s="1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4.25" customHeight="1">
      <c r="A934" s="40"/>
      <c r="B934" s="50"/>
      <c r="C934" s="50"/>
      <c r="D934" s="40"/>
      <c r="E934" s="40"/>
      <c r="F934" s="1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4.25" customHeight="1">
      <c r="A935" s="40"/>
      <c r="B935" s="50"/>
      <c r="C935" s="50"/>
      <c r="D935" s="40"/>
      <c r="E935" s="40"/>
      <c r="F935" s="1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4.25" customHeight="1">
      <c r="A936" s="40"/>
      <c r="B936" s="50"/>
      <c r="C936" s="50"/>
      <c r="D936" s="40"/>
      <c r="E936" s="40"/>
      <c r="F936" s="1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4.25" customHeight="1">
      <c r="A937" s="40"/>
      <c r="B937" s="50"/>
      <c r="C937" s="50"/>
      <c r="D937" s="40"/>
      <c r="E937" s="40"/>
      <c r="F937" s="1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4.25" customHeight="1">
      <c r="A938" s="40"/>
      <c r="B938" s="50"/>
      <c r="C938" s="50"/>
      <c r="D938" s="40"/>
      <c r="E938" s="40"/>
      <c r="F938" s="1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4.25" customHeight="1">
      <c r="A939" s="40"/>
      <c r="B939" s="50"/>
      <c r="C939" s="50"/>
      <c r="D939" s="40"/>
      <c r="E939" s="40"/>
      <c r="F939" s="1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4.25" customHeight="1">
      <c r="A940" s="40"/>
      <c r="B940" s="50"/>
      <c r="C940" s="50"/>
      <c r="D940" s="40"/>
      <c r="E940" s="40"/>
      <c r="F940" s="1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4.25" customHeight="1">
      <c r="A941" s="40"/>
      <c r="B941" s="50"/>
      <c r="C941" s="50"/>
      <c r="D941" s="40"/>
      <c r="E941" s="40"/>
      <c r="F941" s="1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4.25" customHeight="1">
      <c r="A942" s="40"/>
      <c r="B942" s="50"/>
      <c r="C942" s="50"/>
      <c r="D942" s="40"/>
      <c r="E942" s="40"/>
      <c r="F942" s="1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4.25" customHeight="1">
      <c r="A943" s="40"/>
      <c r="B943" s="50"/>
      <c r="C943" s="50"/>
      <c r="D943" s="40"/>
      <c r="E943" s="40"/>
      <c r="F943" s="1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4.25" customHeight="1">
      <c r="A944" s="40"/>
      <c r="B944" s="50"/>
      <c r="C944" s="50"/>
      <c r="D944" s="40"/>
      <c r="E944" s="40"/>
      <c r="F944" s="1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4.25" customHeight="1">
      <c r="A945" s="40"/>
      <c r="B945" s="50"/>
      <c r="C945" s="50"/>
      <c r="D945" s="40"/>
      <c r="E945" s="40"/>
      <c r="F945" s="1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4.25" customHeight="1">
      <c r="A946" s="40"/>
      <c r="B946" s="50"/>
      <c r="C946" s="50"/>
      <c r="D946" s="40"/>
      <c r="E946" s="40"/>
      <c r="F946" s="1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4.25" customHeight="1">
      <c r="A947" s="40"/>
      <c r="B947" s="50"/>
      <c r="C947" s="50"/>
      <c r="D947" s="40"/>
      <c r="E947" s="40"/>
      <c r="F947" s="1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4.25" customHeight="1">
      <c r="A948" s="40"/>
      <c r="B948" s="50"/>
      <c r="C948" s="50"/>
      <c r="D948" s="40"/>
      <c r="E948" s="40"/>
      <c r="F948" s="1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4.25" customHeight="1">
      <c r="A949" s="40"/>
      <c r="B949" s="50"/>
      <c r="C949" s="50"/>
      <c r="D949" s="40"/>
      <c r="E949" s="40"/>
      <c r="F949" s="1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4.25" customHeight="1">
      <c r="A950" s="40"/>
      <c r="B950" s="50"/>
      <c r="C950" s="50"/>
      <c r="D950" s="40"/>
      <c r="E950" s="40"/>
      <c r="F950" s="1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4.25" customHeight="1">
      <c r="A951" s="40"/>
      <c r="B951" s="50"/>
      <c r="C951" s="50"/>
      <c r="D951" s="40"/>
      <c r="E951" s="40"/>
      <c r="F951" s="1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4.25" customHeight="1">
      <c r="A952" s="40"/>
      <c r="B952" s="50"/>
      <c r="C952" s="50"/>
      <c r="D952" s="40"/>
      <c r="E952" s="40"/>
      <c r="F952" s="1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4.25" customHeight="1">
      <c r="A953" s="40"/>
      <c r="B953" s="50"/>
      <c r="C953" s="50"/>
      <c r="D953" s="40"/>
      <c r="E953" s="40"/>
      <c r="F953" s="1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4.25" customHeight="1">
      <c r="A954" s="40"/>
      <c r="B954" s="50"/>
      <c r="C954" s="50"/>
      <c r="D954" s="40"/>
      <c r="E954" s="40"/>
      <c r="F954" s="1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4.25" customHeight="1">
      <c r="A955" s="40"/>
      <c r="B955" s="50"/>
      <c r="C955" s="50"/>
      <c r="D955" s="40"/>
      <c r="E955" s="40"/>
      <c r="F955" s="1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4.25" customHeight="1">
      <c r="A956" s="40"/>
      <c r="B956" s="50"/>
      <c r="C956" s="50"/>
      <c r="D956" s="40"/>
      <c r="E956" s="40"/>
      <c r="F956" s="1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4.25" customHeight="1">
      <c r="A957" s="40"/>
      <c r="B957" s="50"/>
      <c r="C957" s="50"/>
      <c r="D957" s="40"/>
      <c r="E957" s="40"/>
      <c r="F957" s="1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4.25" customHeight="1">
      <c r="A958" s="40"/>
      <c r="B958" s="50"/>
      <c r="C958" s="50"/>
      <c r="D958" s="40"/>
      <c r="E958" s="40"/>
      <c r="F958" s="1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4.25" customHeight="1">
      <c r="A959" s="40"/>
      <c r="B959" s="50"/>
      <c r="C959" s="50"/>
      <c r="D959" s="40"/>
      <c r="E959" s="40"/>
      <c r="F959" s="1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4.25" customHeight="1">
      <c r="A960" s="40"/>
      <c r="B960" s="50"/>
      <c r="C960" s="50"/>
      <c r="D960" s="40"/>
      <c r="E960" s="40"/>
      <c r="F960" s="1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4.25" customHeight="1">
      <c r="A961" s="40"/>
      <c r="B961" s="50"/>
      <c r="C961" s="50"/>
      <c r="D961" s="40"/>
      <c r="E961" s="40"/>
      <c r="F961" s="1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4.25" customHeight="1">
      <c r="A962" s="40"/>
      <c r="B962" s="50"/>
      <c r="C962" s="50"/>
      <c r="D962" s="40"/>
      <c r="E962" s="40"/>
      <c r="F962" s="1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4.25" customHeight="1">
      <c r="A963" s="40"/>
      <c r="B963" s="50"/>
      <c r="C963" s="50"/>
      <c r="D963" s="40"/>
      <c r="E963" s="40"/>
      <c r="F963" s="1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4.25" customHeight="1">
      <c r="A964" s="40"/>
      <c r="B964" s="50"/>
      <c r="C964" s="50"/>
      <c r="D964" s="40"/>
      <c r="E964" s="40"/>
      <c r="F964" s="1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4.25" customHeight="1">
      <c r="A965" s="40"/>
      <c r="B965" s="50"/>
      <c r="C965" s="50"/>
      <c r="D965" s="40"/>
      <c r="E965" s="40"/>
      <c r="F965" s="1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4.25" customHeight="1">
      <c r="A966" s="40"/>
      <c r="B966" s="50"/>
      <c r="C966" s="50"/>
      <c r="D966" s="40"/>
      <c r="E966" s="40"/>
      <c r="F966" s="1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4.25" customHeight="1">
      <c r="A967" s="40"/>
      <c r="B967" s="50"/>
      <c r="C967" s="50"/>
      <c r="D967" s="40"/>
      <c r="E967" s="40"/>
      <c r="F967" s="1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4.25" customHeight="1">
      <c r="A968" s="40"/>
      <c r="B968" s="50"/>
      <c r="C968" s="50"/>
      <c r="D968" s="40"/>
      <c r="E968" s="40"/>
      <c r="F968" s="1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4.25" customHeight="1">
      <c r="A969" s="40"/>
      <c r="B969" s="50"/>
      <c r="C969" s="50"/>
      <c r="D969" s="40"/>
      <c r="E969" s="40"/>
      <c r="F969" s="1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4.25" customHeight="1">
      <c r="A970" s="40"/>
      <c r="B970" s="50"/>
      <c r="C970" s="50"/>
      <c r="D970" s="40"/>
      <c r="E970" s="40"/>
      <c r="F970" s="1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4.25" customHeight="1">
      <c r="A971" s="40"/>
      <c r="B971" s="50"/>
      <c r="C971" s="50"/>
      <c r="D971" s="40"/>
      <c r="E971" s="40"/>
      <c r="F971" s="1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4.25" customHeight="1">
      <c r="A972" s="40"/>
      <c r="B972" s="50"/>
      <c r="C972" s="50"/>
      <c r="D972" s="40"/>
      <c r="E972" s="40"/>
      <c r="F972" s="1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4.25" customHeight="1">
      <c r="A973" s="40"/>
      <c r="B973" s="50"/>
      <c r="C973" s="50"/>
      <c r="D973" s="40"/>
      <c r="E973" s="40"/>
      <c r="F973" s="1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4.25" customHeight="1">
      <c r="A974" s="40"/>
      <c r="B974" s="50"/>
      <c r="C974" s="50"/>
      <c r="D974" s="40"/>
      <c r="E974" s="40"/>
      <c r="F974" s="1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4.25" customHeight="1">
      <c r="A975" s="40"/>
      <c r="B975" s="50"/>
      <c r="C975" s="50"/>
      <c r="D975" s="40"/>
      <c r="E975" s="40"/>
      <c r="F975" s="1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4.25" customHeight="1">
      <c r="A976" s="40"/>
      <c r="B976" s="50"/>
      <c r="C976" s="50"/>
      <c r="D976" s="40"/>
      <c r="E976" s="40"/>
      <c r="F976" s="1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4.25" customHeight="1">
      <c r="A977" s="40"/>
      <c r="B977" s="50"/>
      <c r="C977" s="50"/>
      <c r="D977" s="40"/>
      <c r="E977" s="40"/>
      <c r="F977" s="1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4.25" customHeight="1">
      <c r="A978" s="40"/>
      <c r="B978" s="50"/>
      <c r="C978" s="50"/>
      <c r="D978" s="40"/>
      <c r="E978" s="40"/>
      <c r="F978" s="1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4.25" customHeight="1">
      <c r="A979" s="40"/>
      <c r="B979" s="50"/>
      <c r="C979" s="50"/>
      <c r="D979" s="40"/>
      <c r="E979" s="40"/>
      <c r="F979" s="1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4.25" customHeight="1">
      <c r="A980" s="40"/>
      <c r="B980" s="50"/>
      <c r="C980" s="50"/>
      <c r="D980" s="40"/>
      <c r="E980" s="40"/>
      <c r="F980" s="1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4.25" customHeight="1">
      <c r="A981" s="40"/>
      <c r="B981" s="50"/>
      <c r="C981" s="50"/>
      <c r="D981" s="40"/>
      <c r="E981" s="40"/>
      <c r="F981" s="1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4.25" customHeight="1">
      <c r="A982" s="40"/>
      <c r="B982" s="50"/>
      <c r="C982" s="50"/>
      <c r="D982" s="40"/>
      <c r="E982" s="40"/>
      <c r="F982" s="1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4.25" customHeight="1">
      <c r="A983" s="40"/>
      <c r="B983" s="50"/>
      <c r="C983" s="50"/>
      <c r="D983" s="40"/>
      <c r="E983" s="40"/>
      <c r="F983" s="1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4.25" customHeight="1">
      <c r="A984" s="40"/>
      <c r="B984" s="50"/>
      <c r="C984" s="50"/>
      <c r="D984" s="40"/>
      <c r="E984" s="40"/>
      <c r="F984" s="1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4.25" customHeight="1">
      <c r="A985" s="40"/>
      <c r="B985" s="50"/>
      <c r="C985" s="50"/>
      <c r="D985" s="40"/>
      <c r="E985" s="40"/>
      <c r="F985" s="1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4.25" customHeight="1">
      <c r="A986" s="40"/>
      <c r="B986" s="50"/>
      <c r="C986" s="50"/>
      <c r="D986" s="40"/>
      <c r="E986" s="40"/>
      <c r="F986" s="1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4.25" customHeight="1">
      <c r="A987" s="40"/>
      <c r="B987" s="50"/>
      <c r="C987" s="50"/>
      <c r="D987" s="40"/>
      <c r="E987" s="40"/>
      <c r="F987" s="1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4.25" customHeight="1">
      <c r="A988" s="40"/>
      <c r="B988" s="50"/>
      <c r="C988" s="50"/>
      <c r="D988" s="40"/>
      <c r="E988" s="40"/>
      <c r="F988" s="1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4.25" customHeight="1">
      <c r="A989" s="40"/>
      <c r="B989" s="50"/>
      <c r="C989" s="50"/>
      <c r="D989" s="40"/>
      <c r="E989" s="40"/>
      <c r="F989" s="1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4.25" customHeight="1">
      <c r="A990" s="40"/>
      <c r="B990" s="50"/>
      <c r="C990" s="50"/>
      <c r="D990" s="40"/>
      <c r="E990" s="40"/>
      <c r="F990" s="1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4.25" customHeight="1">
      <c r="A991" s="40"/>
      <c r="B991" s="50"/>
      <c r="C991" s="50"/>
      <c r="D991" s="40"/>
      <c r="E991" s="40"/>
      <c r="F991" s="1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4.25" customHeight="1">
      <c r="A992" s="40"/>
      <c r="B992" s="50"/>
      <c r="C992" s="50"/>
      <c r="D992" s="40"/>
      <c r="E992" s="40"/>
      <c r="F992" s="1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4.25" customHeight="1">
      <c r="A993" s="40"/>
      <c r="B993" s="50"/>
      <c r="C993" s="50"/>
      <c r="D993" s="40"/>
      <c r="E993" s="40"/>
      <c r="F993" s="1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4.25" customHeight="1">
      <c r="A994" s="40"/>
      <c r="B994" s="50"/>
      <c r="C994" s="50"/>
      <c r="D994" s="40"/>
      <c r="E994" s="40"/>
      <c r="F994" s="1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4.25" customHeight="1">
      <c r="A995" s="40"/>
      <c r="B995" s="50"/>
      <c r="C995" s="50"/>
      <c r="D995" s="40"/>
      <c r="E995" s="40"/>
      <c r="F995" s="1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4.25" customHeight="1">
      <c r="A996" s="40"/>
      <c r="B996" s="50"/>
      <c r="C996" s="50"/>
      <c r="D996" s="40"/>
      <c r="E996" s="40"/>
      <c r="F996" s="1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4.25" customHeight="1">
      <c r="A997" s="40"/>
      <c r="B997" s="50"/>
      <c r="C997" s="50"/>
      <c r="D997" s="40"/>
      <c r="E997" s="40"/>
      <c r="F997" s="1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4.25" customHeight="1">
      <c r="A998" s="40"/>
      <c r="B998" s="50"/>
      <c r="C998" s="50"/>
      <c r="D998" s="40"/>
      <c r="E998" s="40"/>
      <c r="F998" s="1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4.25" customHeight="1">
      <c r="A999" s="40"/>
      <c r="B999" s="50"/>
      <c r="C999" s="50"/>
      <c r="D999" s="40"/>
      <c r="E999" s="40"/>
      <c r="F999" s="1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4.25" customHeight="1">
      <c r="A1000" s="40"/>
      <c r="B1000" s="50"/>
      <c r="C1000" s="50"/>
      <c r="D1000" s="40"/>
      <c r="E1000" s="40"/>
      <c r="F1000" s="1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autoFilter ref="A6:H93"/>
  <mergeCells count="3">
    <mergeCell ref="A1:D1"/>
    <mergeCell ref="A3:H3"/>
    <mergeCell ref="C5:D5"/>
  </mergeCells>
  <phoneticPr fontId="34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INSoft</dc:creator>
  <cp:lastModifiedBy>User</cp:lastModifiedBy>
  <dcterms:created xsi:type="dcterms:W3CDTF">2026-06-08T06:00:05Z</dcterms:created>
  <dcterms:modified xsi:type="dcterms:W3CDTF">2026-06-15T02:16:06Z</dcterms:modified>
</cp:coreProperties>
</file>